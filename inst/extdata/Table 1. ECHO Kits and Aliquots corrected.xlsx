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ric/Documents/biostoreCapacity/inst/extdata/"/>
    </mc:Choice>
  </mc:AlternateContent>
  <xr:revisionPtr revIDLastSave="0" documentId="13_ncr:1_{B9214C28-C611-C749-9F1B-2CA058D76B58}" xr6:coauthVersionLast="47" xr6:coauthVersionMax="47" xr10:uidLastSave="{00000000-0000-0000-0000-000000000000}"/>
  <bookViews>
    <workbookView xWindow="1920" yWindow="500" windowWidth="34560" windowHeight="20420" firstSheet="1" activeTab="1" xr2:uid="{F4C74B1F-0A1C-8C43-884D-C02F119AE55F}"/>
  </bookViews>
  <sheets>
    <sheet name="Table 1. ECHO Kits and Labware" sheetId="1" r:id="rId1"/>
    <sheet name="Table 1. MEGHAN COPY VERSION" sheetId="7" r:id="rId2"/>
    <sheet name="Table 2. ECHO Freezer Capacity" sheetId="3" r:id="rId3"/>
    <sheet name="Sheet3" sheetId="5" r:id="rId4"/>
    <sheet name="Table 3. Capacity by Labware" sheetId="4" r:id="rId5"/>
    <sheet name="Table C1 from elvislims" sheetId="6" r:id="rId6"/>
    <sheet name="Table C1 from DAC" sheetId="8" r:id="rId7"/>
    <sheet name="Table C1 simplified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H4" i="8"/>
  <c r="G5" i="8"/>
  <c r="H5" i="8"/>
  <c r="G6" i="8"/>
  <c r="H6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G21" i="8"/>
  <c r="H21" i="8"/>
  <c r="G22" i="8"/>
  <c r="H22" i="8"/>
  <c r="G23" i="8"/>
  <c r="H23" i="8"/>
  <c r="G24" i="8"/>
  <c r="H24" i="8"/>
  <c r="G25" i="8"/>
  <c r="H25" i="8"/>
  <c r="G26" i="8"/>
  <c r="H26" i="8"/>
  <c r="G27" i="8"/>
  <c r="H27" i="8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H2" i="8"/>
  <c r="G2" i="8"/>
  <c r="I9" i="7"/>
  <c r="I8" i="7"/>
  <c r="I7" i="7"/>
  <c r="I6" i="7"/>
  <c r="H47" i="7"/>
  <c r="I47" i="7" s="1"/>
  <c r="H46" i="7"/>
  <c r="I46" i="7" s="1"/>
  <c r="I45" i="7"/>
  <c r="H35" i="7"/>
  <c r="I35" i="7" s="1"/>
  <c r="I34" i="7"/>
  <c r="G23" i="7"/>
  <c r="I23" i="7" s="1"/>
  <c r="G21" i="7"/>
  <c r="I21" i="7" s="1"/>
  <c r="I18" i="7"/>
  <c r="I19" i="7"/>
  <c r="H50" i="7"/>
  <c r="I50" i="7" s="1"/>
  <c r="H44" i="7"/>
  <c r="I44" i="7" s="1"/>
  <c r="H29" i="7"/>
  <c r="I29" i="7" s="1"/>
  <c r="H31" i="7"/>
  <c r="I31" i="7" s="1"/>
  <c r="H27" i="7"/>
  <c r="I27" i="7" s="1"/>
  <c r="H33" i="7"/>
  <c r="I33" i="7" s="1"/>
  <c r="H37" i="7"/>
  <c r="I37" i="7" s="1"/>
  <c r="H16" i="7"/>
  <c r="I16" i="7" s="1"/>
  <c r="H12" i="7"/>
  <c r="I12" i="7" s="1"/>
  <c r="H5" i="7"/>
  <c r="I5" i="7" s="1"/>
  <c r="H49" i="7"/>
  <c r="I49" i="7" s="1"/>
  <c r="H43" i="7"/>
  <c r="I43" i="7" s="1"/>
  <c r="H11" i="7"/>
  <c r="I11" i="7" s="1"/>
  <c r="H4" i="7"/>
  <c r="I4" i="7" s="1"/>
  <c r="I28" i="7"/>
  <c r="I30" i="7"/>
  <c r="I26" i="7"/>
  <c r="I36" i="7"/>
  <c r="I32" i="7"/>
  <c r="I14" i="7"/>
  <c r="I48" i="7"/>
  <c r="I42" i="7"/>
  <c r="G22" i="7"/>
  <c r="I22" i="7" s="1"/>
  <c r="G20" i="7"/>
  <c r="I20" i="7" s="1"/>
  <c r="G25" i="7"/>
  <c r="I25" i="7" s="1"/>
  <c r="G24" i="7"/>
  <c r="I24" i="7" s="1"/>
  <c r="I17" i="7"/>
  <c r="I13" i="7"/>
  <c r="I10" i="7"/>
  <c r="I3" i="7"/>
  <c r="I2" i="7"/>
  <c r="I40" i="7"/>
  <c r="G39" i="7"/>
  <c r="I39" i="7" s="1"/>
  <c r="I38" i="7"/>
  <c r="I15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D3" i="3"/>
  <c r="D2" i="3"/>
  <c r="D2" i="5"/>
  <c r="G13" i="1" l="1"/>
  <c r="G12" i="1"/>
  <c r="H19" i="1"/>
  <c r="H21" i="1"/>
  <c r="H22" i="1"/>
  <c r="H33" i="1"/>
  <c r="H34" i="1"/>
  <c r="H31" i="1"/>
  <c r="H38" i="1"/>
  <c r="H24" i="1"/>
  <c r="H42" i="1"/>
  <c r="H39" i="1"/>
  <c r="H10" i="1"/>
  <c r="H30" i="1"/>
  <c r="H18" i="1"/>
  <c r="H8" i="1"/>
  <c r="H7" i="1"/>
  <c r="H9" i="1"/>
  <c r="H16" i="1"/>
  <c r="H17" i="1"/>
  <c r="H44" i="1"/>
  <c r="H40" i="1"/>
  <c r="H45" i="1"/>
  <c r="H46" i="1"/>
  <c r="H41" i="1"/>
  <c r="H43" i="1"/>
  <c r="H35" i="1"/>
  <c r="H23" i="1"/>
  <c r="H32" i="1"/>
  <c r="H20" i="1"/>
  <c r="H28" i="1"/>
  <c r="H29" i="1"/>
  <c r="H25" i="1"/>
  <c r="H36" i="1"/>
  <c r="H26" i="1"/>
  <c r="H37" i="1"/>
  <c r="H27" i="1"/>
  <c r="G39" i="1"/>
  <c r="G10" i="1"/>
  <c r="G4" i="1"/>
  <c r="G15" i="1"/>
  <c r="G14" i="1"/>
  <c r="G11" i="1"/>
  <c r="G18" i="1"/>
  <c r="G8" i="1"/>
</calcChain>
</file>

<file path=xl/sharedStrings.xml><?xml version="1.0" encoding="utf-8"?>
<sst xmlns="http://schemas.openxmlformats.org/spreadsheetml/2006/main" count="846" uniqueCount="155">
  <si>
    <t>Protocol Version</t>
  </si>
  <si>
    <t>kit_type</t>
  </si>
  <si>
    <t>labware_type</t>
  </si>
  <si>
    <t>labware_count</t>
  </si>
  <si>
    <t>location</t>
  </si>
  <si>
    <t>container</t>
  </si>
  <si>
    <t>units_per_container</t>
  </si>
  <si>
    <t>containers_per_rack</t>
  </si>
  <si>
    <t>specimens_per_rack</t>
  </si>
  <si>
    <t>kits_proj_function_kit_type</t>
  </si>
  <si>
    <t>current</t>
  </si>
  <si>
    <t>PFAS-Free Water Blank</t>
  </si>
  <si>
    <t>50 mL Polypropylene Tube</t>
  </si>
  <si>
    <t>-20C freezer</t>
  </si>
  <si>
    <t>5.7x5.7x4.8_cryobox</t>
  </si>
  <si>
    <t>VOC-Free Water Blank</t>
  </si>
  <si>
    <t>water</t>
  </si>
  <si>
    <t>Amber Glass Vial</t>
  </si>
  <si>
    <t>50mL Tube with Label</t>
  </si>
  <si>
    <t>125 mL PFAS-free Bottle</t>
  </si>
  <si>
    <t>9x12_bag</t>
  </si>
  <si>
    <t>breast_milk</t>
  </si>
  <si>
    <t>Whatman Card</t>
  </si>
  <si>
    <t>-80C freezer</t>
  </si>
  <si>
    <t>5x5x3_cryobox</t>
  </si>
  <si>
    <t>10mL Cryovial with Label</t>
  </si>
  <si>
    <t>cord_blood</t>
  </si>
  <si>
    <t>nasal_swab</t>
  </si>
  <si>
    <t>Zymo DNA/RNA Shield SafeCollect Tube</t>
  </si>
  <si>
    <t>saliva</t>
  </si>
  <si>
    <t>Saliva Cryovial with Label</t>
  </si>
  <si>
    <t>stool_maternal</t>
  </si>
  <si>
    <t>Zymo Collection Tube</t>
  </si>
  <si>
    <t>Sarstedt Fecal Tube with Label</t>
  </si>
  <si>
    <t>stool_child</t>
  </si>
  <si>
    <t>whole_blood_child</t>
  </si>
  <si>
    <t>whole_blood_maternal</t>
  </si>
  <si>
    <t>Cryovial with Label</t>
  </si>
  <si>
    <t>urine_diaper</t>
  </si>
  <si>
    <t>7.6mL Barcoded Cryovial</t>
  </si>
  <si>
    <t>6x4_cryorack</t>
  </si>
  <si>
    <t>urine_hat</t>
  </si>
  <si>
    <t>urine_cup_child</t>
  </si>
  <si>
    <t>urine_cup_partner</t>
  </si>
  <si>
    <t>urine_cup_maternal</t>
  </si>
  <si>
    <t>1.0mL Barcoded Cryovial</t>
  </si>
  <si>
    <t>biostore</t>
  </si>
  <si>
    <t>12x8_cryorack</t>
  </si>
  <si>
    <t>1.9mL Barcoded Cryovial</t>
  </si>
  <si>
    <t>8x6_cryorack</t>
  </si>
  <si>
    <t>placenta</t>
  </si>
  <si>
    <t>depracated</t>
  </si>
  <si>
    <t>Globe Scientific Fecal Tube with Label</t>
  </si>
  <si>
    <t>urine_cup</t>
  </si>
  <si>
    <t>maternal_breastmilk_specialized</t>
  </si>
  <si>
    <t>child_blood_spot_0_2</t>
  </si>
  <si>
    <t>child_blood_spot_gt_2</t>
  </si>
  <si>
    <t>child_blood_spot_specialized</t>
  </si>
  <si>
    <t>maternal_blood_spot_core</t>
  </si>
  <si>
    <t>child_cord_blood_core</t>
  </si>
  <si>
    <t>child_nasal_swab_specialized</t>
  </si>
  <si>
    <t>maternal_water_specialized</t>
  </si>
  <si>
    <t>maternal_placenta_core</t>
  </si>
  <si>
    <t>child_saliva_core</t>
  </si>
  <si>
    <t>maternal_saliva_core</t>
  </si>
  <si>
    <t>partner_saliva_core</t>
  </si>
  <si>
    <t>child_stool_core</t>
  </si>
  <si>
    <t>child_stool_specialized</t>
  </si>
  <si>
    <t>maternal_stool_specialized</t>
  </si>
  <si>
    <t>child_urine_cup_core</t>
  </si>
  <si>
    <t>maternal_urine_cup_core</t>
  </si>
  <si>
    <t>partner_urine_cup_core</t>
  </si>
  <si>
    <t>child_urine_diaper_core</t>
  </si>
  <si>
    <t>child_urine_diaper_specialized</t>
  </si>
  <si>
    <t>child_urine_hat_core</t>
  </si>
  <si>
    <t>child_whole_blood_core</t>
  </si>
  <si>
    <t>child_whole_blood_specialized</t>
  </si>
  <si>
    <t>maternal_whole_blood_core</t>
  </si>
  <si>
    <t>child_hair_core</t>
  </si>
  <si>
    <t>Plastic bag</t>
  </si>
  <si>
    <t>ambient</t>
  </si>
  <si>
    <t>unknown</t>
  </si>
  <si>
    <t>child_tooth_core</t>
  </si>
  <si>
    <t>maternal_hair_core</t>
  </si>
  <si>
    <t>future</t>
  </si>
  <si>
    <t>partner_semen_specialized</t>
  </si>
  <si>
    <t>freezer_type</t>
  </si>
  <si>
    <t>rack_capacity</t>
  </si>
  <si>
    <t>units_available</t>
  </si>
  <si>
    <t>TSX60086FA</t>
  </si>
  <si>
    <t>TSX70086FA</t>
  </si>
  <si>
    <t>BioStore 2</t>
  </si>
  <si>
    <t>FluidX 1.0mL Tube</t>
  </si>
  <si>
    <t>BioStore</t>
  </si>
  <si>
    <t>1.9mL Capped Vial</t>
  </si>
  <si>
    <t>Specimen Type</t>
  </si>
  <si>
    <t>Specimen Container</t>
  </si>
  <si>
    <t>Participants</t>
  </si>
  <si>
    <t>Collected</t>
  </si>
  <si>
    <t>Shipped</t>
  </si>
  <si>
    <t>Received</t>
  </si>
  <si>
    <t>Blood</t>
  </si>
  <si>
    <t>1.8 mL Red Blood Cell aliquots in 1.9 mL cryovials (yellow capped)</t>
  </si>
  <si>
    <t>1 mL Buffy Coat aliquots in 1.9 mL cryovials (green capped and prefilled with RNALater)</t>
  </si>
  <si>
    <t>1 mL Plasma aliquots in 1.0 mL cryovials (lavender capped)</t>
  </si>
  <si>
    <t>1 mL Serum aliquots in 1.0 mL cryovials (red capped)</t>
  </si>
  <si>
    <t>200 ¬µL Plasma aliquots in 1.0 mL cryovials (lavender capped)</t>
  </si>
  <si>
    <t>200 ¬µL Serum aliquots in 1.0 mL cryovials (red capped)</t>
  </si>
  <si>
    <t>Unknown Container</t>
  </si>
  <si>
    <t>Whole Blood 0.5 mL aliquots in 1.9 mL cryovials (blue capped)</t>
  </si>
  <si>
    <t>Whole Blood 1.0 mL aliquots in metals-free 1.9 mL cryovials (blue capped)</t>
  </si>
  <si>
    <t>Whole Blood Whatman Card - 5 spots of 50 ŒºL</t>
  </si>
  <si>
    <t>Blood Spot</t>
  </si>
  <si>
    <t>Cord Blood</t>
  </si>
  <si>
    <t>Hair</t>
  </si>
  <si>
    <t>Hair Collection Kit</t>
  </si>
  <si>
    <t>Meconium and Stool</t>
  </si>
  <si>
    <t>Fecal Tube</t>
  </si>
  <si>
    <t>Zymo DNA/RNA Shield Tube</t>
  </si>
  <si>
    <t>Placenta</t>
  </si>
  <si>
    <t>1 Placenta or placenta tissue fixed in formalin</t>
  </si>
  <si>
    <t>large placenta in a bag</t>
  </si>
  <si>
    <t>50-100 mg tissue in 1.9 mL barcoded RNAlater red top tubes, pre-filled w/1.5mL RNAlater volume. (Collect from Site A)</t>
  </si>
  <si>
    <t>50-100 mg tissue in 1.9 mL empty Barcoded red top tubes (Collected from Site B)</t>
  </si>
  <si>
    <t>Placental Cord Subsample</t>
  </si>
  <si>
    <t>Placenta Subsample Cassette</t>
  </si>
  <si>
    <t>Placenta Subsample Slide</t>
  </si>
  <si>
    <t>Placental Membrane Subsample</t>
  </si>
  <si>
    <t>Placenta Subsample</t>
  </si>
  <si>
    <t>Saliva (Assisted)</t>
  </si>
  <si>
    <t>Saliva Collection Kit</t>
  </si>
  <si>
    <t>Saliva (Self-Collected)</t>
  </si>
  <si>
    <t>Stool</t>
  </si>
  <si>
    <t>Tooth</t>
  </si>
  <si>
    <t>Tooth Collection Kit</t>
  </si>
  <si>
    <t>Urine (Diaper Collection)</t>
  </si>
  <si>
    <t>1.8 mL Urine aliquots in 1.9 mL cryovials (orange capped)</t>
  </si>
  <si>
    <t>7.0 mL Urine aliquots in 7.6 mL cryovial (orange capped)</t>
  </si>
  <si>
    <t>Urine (Self or Hat Collection)</t>
  </si>
  <si>
    <t>Collected from Participants</t>
  </si>
  <si>
    <t>Shipped to Repository</t>
  </si>
  <si>
    <t>Received at Repository</t>
  </si>
  <si>
    <t>Collected - Shipped</t>
  </si>
  <si>
    <t>Collected - Received</t>
  </si>
  <si>
    <t> </t>
  </si>
  <si>
    <t>1 mL Plasma aliquots in 1.0 mL cryovials (purple capped)</t>
  </si>
  <si>
    <t>200 µL Plasma aliquots in 1.0 mL cryovials (lavender capped)</t>
  </si>
  <si>
    <t>200 µL Plasma aliquots in 1.0 mL cryovials (purple capped)</t>
  </si>
  <si>
    <t>200 µL Serum aliquots in 1.0 mL cryovials (red capped)</t>
  </si>
  <si>
    <t>400 µL Plasma aliquots in 1.0 mL cryovials (purple capped)</t>
  </si>
  <si>
    <t>400 µL Serum aliquots in 1.0 mL cryovials (red capped)</t>
  </si>
  <si>
    <t>Whole Blood Whatman Card - 5 spots of 50 µL</t>
  </si>
  <si>
    <t>kpa placenta bag</t>
  </si>
  <si>
    <t>Saliva</t>
  </si>
  <si>
    <t>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</si>
</sst>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color theme="1"/>
      <name val="HelveticaNeue"/>
      <family val="2"/>
    </font>
    <font>
      <sz val="10"/>
      <color theme="0"/>
      <name val="HelveticaNeue"/>
      <family val="2"/>
    </font>
    <font>
      <b/>
      <sz val="10"/>
      <color theme="1"/>
      <name val="HelveticaNeue"/>
    </font>
    <font>
      <sz val="10"/>
      <color theme="1"/>
      <name val="HelveticaNeue"/>
      <family val="2"/>
    </font>
    <font>
      <sz val="10"/>
      <color rgb="FF000000"/>
      <name val="HelveticaNeue"/>
      <family val="2"/>
    </font>
    <font>
      <sz val="10"/>
      <color rgb="FFFFFFFF"/>
      <name val="HelveticaNeue"/>
      <family val="2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3" fontId="0" fillId="0" borderId="0" xfId="0" applyNumberFormat="1"/>
    <xf numFmtId="0" fontId="0" fillId="0" borderId="1" xfId="0" applyBorder="1"/>
    <xf numFmtId="164" fontId="6" fillId="0" borderId="2" xfId="1" applyNumberFormat="1" applyFont="1" applyBorder="1"/>
    <xf numFmtId="43" fontId="0" fillId="0" borderId="0" xfId="0" applyNumberFormat="1"/>
    <xf numFmtId="0" fontId="2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EFBD-9C1F-B14B-B50F-F1873B963E4E}">
  <dimension ref="A1:J46"/>
  <sheetViews>
    <sheetView zoomScale="125" workbookViewId="0">
      <selection activeCell="C14" sqref="C14"/>
    </sheetView>
  </sheetViews>
  <sheetFormatPr baseColWidth="10" defaultColWidth="11.5" defaultRowHeight="13"/>
  <cols>
    <col min="1" max="1" width="13.33203125" style="3" bestFit="1" customWidth="1"/>
    <col min="2" max="2" width="17.83203125" style="3" bestFit="1" customWidth="1"/>
    <col min="3" max="3" width="31.33203125" style="3" bestFit="1" customWidth="1"/>
    <col min="4" max="4" width="13.1640625" style="3" bestFit="1" customWidth="1"/>
    <col min="5" max="5" width="10.83203125" style="3"/>
    <col min="6" max="6" width="21.1640625" style="3" bestFit="1" customWidth="1"/>
    <col min="7" max="7" width="9.5" style="3" bestFit="1" customWidth="1"/>
    <col min="8" max="8" width="9.33203125" style="3" bestFit="1" customWidth="1"/>
  </cols>
  <sheetData>
    <row r="1" spans="1:10" s="1" customFormat="1" ht="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>
        <v>1</v>
      </c>
      <c r="E2" s="4" t="s">
        <v>13</v>
      </c>
      <c r="F2" s="3" t="s">
        <v>14</v>
      </c>
      <c r="G2" s="3">
        <v>16</v>
      </c>
      <c r="H2" s="7">
        <v>10</v>
      </c>
      <c r="I2">
        <f>G2*H2</f>
        <v>160</v>
      </c>
    </row>
    <row r="3" spans="1:10">
      <c r="A3" s="3" t="s">
        <v>10</v>
      </c>
      <c r="B3" s="3" t="s">
        <v>15</v>
      </c>
      <c r="C3" s="3" t="s">
        <v>12</v>
      </c>
      <c r="D3" s="3">
        <v>1</v>
      </c>
      <c r="E3" s="4" t="s">
        <v>13</v>
      </c>
      <c r="F3" s="3" t="s">
        <v>14</v>
      </c>
      <c r="G3" s="3">
        <v>16</v>
      </c>
      <c r="H3" s="7">
        <v>10</v>
      </c>
      <c r="I3">
        <f t="shared" ref="I3:I46" si="0">G3*H3</f>
        <v>160</v>
      </c>
    </row>
    <row r="4" spans="1:10">
      <c r="A4" s="3" t="s">
        <v>10</v>
      </c>
      <c r="B4" s="3" t="s">
        <v>16</v>
      </c>
      <c r="C4" s="3" t="s">
        <v>17</v>
      </c>
      <c r="D4" s="3">
        <v>1</v>
      </c>
      <c r="E4" s="4" t="s">
        <v>13</v>
      </c>
      <c r="F4" s="3" t="s">
        <v>14</v>
      </c>
      <c r="G4" s="3">
        <f>4*4</f>
        <v>16</v>
      </c>
      <c r="H4" s="7">
        <v>10</v>
      </c>
      <c r="I4">
        <f t="shared" si="0"/>
        <v>160</v>
      </c>
    </row>
    <row r="5" spans="1:10">
      <c r="A5" s="3" t="s">
        <v>10</v>
      </c>
      <c r="B5" s="3" t="s">
        <v>16</v>
      </c>
      <c r="C5" s="3" t="s">
        <v>18</v>
      </c>
      <c r="D5" s="3">
        <v>1</v>
      </c>
      <c r="E5" s="4" t="s">
        <v>13</v>
      </c>
      <c r="F5" s="3" t="s">
        <v>14</v>
      </c>
      <c r="G5" s="3">
        <v>16</v>
      </c>
      <c r="H5" s="7">
        <v>10</v>
      </c>
      <c r="I5">
        <f t="shared" si="0"/>
        <v>160</v>
      </c>
    </row>
    <row r="6" spans="1:10">
      <c r="A6" s="3" t="s">
        <v>10</v>
      </c>
      <c r="B6" s="3" t="s">
        <v>16</v>
      </c>
      <c r="C6" s="3" t="s">
        <v>19</v>
      </c>
      <c r="D6" s="3">
        <v>1</v>
      </c>
      <c r="E6" s="4" t="s">
        <v>13</v>
      </c>
      <c r="F6" s="3" t="s">
        <v>20</v>
      </c>
      <c r="G6" s="3">
        <v>1</v>
      </c>
      <c r="I6">
        <f t="shared" si="0"/>
        <v>0</v>
      </c>
    </row>
    <row r="7" spans="1:10">
      <c r="A7" s="3" t="s">
        <v>10</v>
      </c>
      <c r="B7" s="3" t="s">
        <v>21</v>
      </c>
      <c r="C7" s="3" t="s">
        <v>22</v>
      </c>
      <c r="D7" s="3">
        <v>2</v>
      </c>
      <c r="E7" s="4" t="s">
        <v>23</v>
      </c>
      <c r="F7" s="5" t="s">
        <v>24</v>
      </c>
      <c r="G7" s="3">
        <v>70</v>
      </c>
      <c r="H7" s="3">
        <f>5*4</f>
        <v>20</v>
      </c>
      <c r="I7">
        <f t="shared" si="0"/>
        <v>1400</v>
      </c>
    </row>
    <row r="8" spans="1:10">
      <c r="A8" s="3" t="s">
        <v>10</v>
      </c>
      <c r="B8" s="3" t="s">
        <v>21</v>
      </c>
      <c r="C8" s="3" t="s">
        <v>25</v>
      </c>
      <c r="D8" s="3">
        <v>3</v>
      </c>
      <c r="E8" s="4" t="s">
        <v>23</v>
      </c>
      <c r="F8" s="5" t="s">
        <v>24</v>
      </c>
      <c r="G8" s="3">
        <f>6*6</f>
        <v>36</v>
      </c>
      <c r="H8" s="3">
        <f>5*4</f>
        <v>20</v>
      </c>
      <c r="I8">
        <f t="shared" si="0"/>
        <v>720</v>
      </c>
    </row>
    <row r="9" spans="1:10">
      <c r="A9" s="3" t="s">
        <v>10</v>
      </c>
      <c r="B9" s="3" t="s">
        <v>26</v>
      </c>
      <c r="C9" s="3" t="s">
        <v>22</v>
      </c>
      <c r="D9" s="3">
        <v>1</v>
      </c>
      <c r="E9" s="4" t="s">
        <v>23</v>
      </c>
      <c r="F9" s="5" t="s">
        <v>24</v>
      </c>
      <c r="G9" s="3">
        <v>70</v>
      </c>
      <c r="H9" s="3">
        <f>5*4</f>
        <v>20</v>
      </c>
      <c r="I9">
        <f t="shared" si="0"/>
        <v>1400</v>
      </c>
    </row>
    <row r="10" spans="1:10">
      <c r="A10" s="3" t="s">
        <v>10</v>
      </c>
      <c r="B10" s="3" t="s">
        <v>27</v>
      </c>
      <c r="C10" s="3" t="s">
        <v>28</v>
      </c>
      <c r="D10" s="3">
        <v>1</v>
      </c>
      <c r="E10" s="4" t="s">
        <v>23</v>
      </c>
      <c r="F10" s="5" t="s">
        <v>24</v>
      </c>
      <c r="G10" s="3">
        <f>7*7</f>
        <v>49</v>
      </c>
      <c r="H10" s="3">
        <f>5*4</f>
        <v>20</v>
      </c>
      <c r="I10">
        <f t="shared" si="0"/>
        <v>980</v>
      </c>
    </row>
    <row r="11" spans="1:10">
      <c r="A11" s="3" t="s">
        <v>10</v>
      </c>
      <c r="B11" s="3" t="s">
        <v>29</v>
      </c>
      <c r="C11" s="3" t="s">
        <v>30</v>
      </c>
      <c r="D11" s="3">
        <v>1</v>
      </c>
      <c r="E11" s="4" t="s">
        <v>23</v>
      </c>
      <c r="F11" s="5" t="s">
        <v>24</v>
      </c>
      <c r="G11" s="3">
        <f>6*6</f>
        <v>36</v>
      </c>
      <c r="H11" s="6">
        <v>20</v>
      </c>
      <c r="I11">
        <f t="shared" si="0"/>
        <v>720</v>
      </c>
    </row>
    <row r="12" spans="1:10">
      <c r="A12" s="3" t="s">
        <v>10</v>
      </c>
      <c r="B12" s="3" t="s">
        <v>31</v>
      </c>
      <c r="C12" s="3" t="s">
        <v>32</v>
      </c>
      <c r="D12" s="3">
        <v>1</v>
      </c>
      <c r="E12" s="4" t="s">
        <v>23</v>
      </c>
      <c r="F12" s="5" t="s">
        <v>24</v>
      </c>
      <c r="G12" s="3">
        <f>5*5</f>
        <v>25</v>
      </c>
      <c r="H12" s="6">
        <v>20</v>
      </c>
      <c r="I12">
        <f t="shared" si="0"/>
        <v>500</v>
      </c>
    </row>
    <row r="13" spans="1:10">
      <c r="A13" s="3" t="s">
        <v>10</v>
      </c>
      <c r="B13" s="3" t="s">
        <v>31</v>
      </c>
      <c r="C13" s="3" t="s">
        <v>33</v>
      </c>
      <c r="D13" s="3">
        <v>2</v>
      </c>
      <c r="E13" s="4" t="s">
        <v>23</v>
      </c>
      <c r="F13" s="5" t="s">
        <v>24</v>
      </c>
      <c r="G13" s="3">
        <f>5*5</f>
        <v>25</v>
      </c>
      <c r="H13" s="6">
        <v>20</v>
      </c>
      <c r="I13">
        <f t="shared" si="0"/>
        <v>500</v>
      </c>
    </row>
    <row r="14" spans="1:10">
      <c r="A14" s="3" t="s">
        <v>10</v>
      </c>
      <c r="B14" s="3" t="s">
        <v>34</v>
      </c>
      <c r="C14" s="3" t="s">
        <v>32</v>
      </c>
      <c r="D14" s="3">
        <v>1</v>
      </c>
      <c r="E14" s="4" t="s">
        <v>23</v>
      </c>
      <c r="F14" s="5" t="s">
        <v>24</v>
      </c>
      <c r="G14" s="3">
        <f>5*5</f>
        <v>25</v>
      </c>
      <c r="H14" s="6">
        <v>20</v>
      </c>
      <c r="I14">
        <f t="shared" si="0"/>
        <v>500</v>
      </c>
    </row>
    <row r="15" spans="1:10">
      <c r="A15" s="3" t="s">
        <v>10</v>
      </c>
      <c r="B15" s="3" t="s">
        <v>34</v>
      </c>
      <c r="C15" s="3" t="s">
        <v>33</v>
      </c>
      <c r="D15" s="3">
        <v>2</v>
      </c>
      <c r="E15" s="4" t="s">
        <v>23</v>
      </c>
      <c r="F15" s="5" t="s">
        <v>24</v>
      </c>
      <c r="G15" s="3">
        <f>5*5</f>
        <v>25</v>
      </c>
      <c r="H15" s="6">
        <v>20</v>
      </c>
      <c r="I15">
        <f t="shared" si="0"/>
        <v>500</v>
      </c>
    </row>
    <row r="16" spans="1:10">
      <c r="A16" s="3" t="s">
        <v>10</v>
      </c>
      <c r="B16" s="3" t="s">
        <v>35</v>
      </c>
      <c r="C16" s="3" t="s">
        <v>22</v>
      </c>
      <c r="D16" s="3">
        <v>1</v>
      </c>
      <c r="E16" s="4" t="s">
        <v>23</v>
      </c>
      <c r="F16" s="5" t="s">
        <v>24</v>
      </c>
      <c r="G16" s="3">
        <v>70</v>
      </c>
      <c r="H16" s="3">
        <f>5*4</f>
        <v>20</v>
      </c>
      <c r="I16">
        <f t="shared" si="0"/>
        <v>1400</v>
      </c>
    </row>
    <row r="17" spans="1:9">
      <c r="A17" s="3" t="s">
        <v>10</v>
      </c>
      <c r="B17" s="3" t="s">
        <v>36</v>
      </c>
      <c r="C17" s="3" t="s">
        <v>22</v>
      </c>
      <c r="D17" s="3">
        <v>1</v>
      </c>
      <c r="E17" s="4" t="s">
        <v>23</v>
      </c>
      <c r="F17" s="5" t="s">
        <v>24</v>
      </c>
      <c r="G17" s="3">
        <v>70</v>
      </c>
      <c r="H17" s="3">
        <f>5*4</f>
        <v>20</v>
      </c>
      <c r="I17">
        <f t="shared" si="0"/>
        <v>1400</v>
      </c>
    </row>
    <row r="18" spans="1:9">
      <c r="A18" s="3" t="s">
        <v>10</v>
      </c>
      <c r="B18" s="3" t="s">
        <v>27</v>
      </c>
      <c r="C18" s="3" t="s">
        <v>37</v>
      </c>
      <c r="D18" s="3">
        <v>1</v>
      </c>
      <c r="E18" s="4" t="s">
        <v>23</v>
      </c>
      <c r="F18" s="5" t="s">
        <v>24</v>
      </c>
      <c r="G18" s="3">
        <f>6*6</f>
        <v>36</v>
      </c>
      <c r="H18" s="3">
        <f>5*4</f>
        <v>20</v>
      </c>
      <c r="I18">
        <f t="shared" si="0"/>
        <v>720</v>
      </c>
    </row>
    <row r="19" spans="1:9">
      <c r="A19" s="3" t="s">
        <v>10</v>
      </c>
      <c r="B19" s="3" t="s">
        <v>38</v>
      </c>
      <c r="C19" s="3" t="s">
        <v>39</v>
      </c>
      <c r="D19" s="3">
        <v>1</v>
      </c>
      <c r="E19" s="4" t="s">
        <v>23</v>
      </c>
      <c r="F19" s="3" t="s">
        <v>40</v>
      </c>
      <c r="G19" s="3">
        <v>24</v>
      </c>
      <c r="H19" s="3">
        <f t="shared" ref="H19:H37" si="1">7*4</f>
        <v>28</v>
      </c>
      <c r="I19">
        <f t="shared" si="0"/>
        <v>672</v>
      </c>
    </row>
    <row r="20" spans="1:9">
      <c r="A20" s="3" t="s">
        <v>10</v>
      </c>
      <c r="B20" s="3" t="s">
        <v>41</v>
      </c>
      <c r="C20" s="3" t="s">
        <v>39</v>
      </c>
      <c r="D20" s="3">
        <v>1</v>
      </c>
      <c r="E20" s="4" t="s">
        <v>23</v>
      </c>
      <c r="F20" s="3" t="s">
        <v>40</v>
      </c>
      <c r="G20" s="3">
        <v>24</v>
      </c>
      <c r="H20" s="3">
        <f t="shared" si="1"/>
        <v>28</v>
      </c>
      <c r="I20">
        <f t="shared" si="0"/>
        <v>672</v>
      </c>
    </row>
    <row r="21" spans="1:9">
      <c r="A21" s="3" t="s">
        <v>10</v>
      </c>
      <c r="B21" s="3" t="s">
        <v>42</v>
      </c>
      <c r="C21" s="3" t="s">
        <v>39</v>
      </c>
      <c r="D21" s="3">
        <v>3</v>
      </c>
      <c r="E21" s="4" t="s">
        <v>23</v>
      </c>
      <c r="F21" s="3" t="s">
        <v>40</v>
      </c>
      <c r="G21" s="3">
        <v>24</v>
      </c>
      <c r="H21" s="3">
        <f t="shared" si="1"/>
        <v>28</v>
      </c>
      <c r="I21">
        <f t="shared" si="0"/>
        <v>672</v>
      </c>
    </row>
    <row r="22" spans="1:9">
      <c r="A22" s="3" t="s">
        <v>10</v>
      </c>
      <c r="B22" s="3" t="s">
        <v>43</v>
      </c>
      <c r="C22" s="3" t="s">
        <v>39</v>
      </c>
      <c r="D22" s="3">
        <v>3</v>
      </c>
      <c r="E22" s="4" t="s">
        <v>23</v>
      </c>
      <c r="F22" s="3" t="s">
        <v>40</v>
      </c>
      <c r="G22" s="3">
        <v>24</v>
      </c>
      <c r="H22" s="3">
        <f t="shared" si="1"/>
        <v>28</v>
      </c>
      <c r="I22">
        <f t="shared" si="0"/>
        <v>672</v>
      </c>
    </row>
    <row r="23" spans="1:9">
      <c r="A23" s="3" t="s">
        <v>10</v>
      </c>
      <c r="B23" s="3" t="s">
        <v>44</v>
      </c>
      <c r="C23" s="3" t="s">
        <v>39</v>
      </c>
      <c r="D23" s="3">
        <v>3</v>
      </c>
      <c r="E23" s="4" t="s">
        <v>23</v>
      </c>
      <c r="F23" s="3" t="s">
        <v>40</v>
      </c>
      <c r="G23" s="3">
        <v>24</v>
      </c>
      <c r="H23" s="3">
        <f t="shared" si="1"/>
        <v>28</v>
      </c>
      <c r="I23">
        <f t="shared" si="0"/>
        <v>672</v>
      </c>
    </row>
    <row r="24" spans="1:9">
      <c r="A24" s="3" t="s">
        <v>10</v>
      </c>
      <c r="B24" s="3" t="s">
        <v>21</v>
      </c>
      <c r="C24" s="3" t="s">
        <v>45</v>
      </c>
      <c r="D24" s="3">
        <v>10</v>
      </c>
      <c r="E24" s="3" t="s">
        <v>46</v>
      </c>
      <c r="F24" s="3" t="s">
        <v>47</v>
      </c>
      <c r="G24" s="3">
        <v>96</v>
      </c>
      <c r="H24" s="3">
        <f t="shared" si="1"/>
        <v>28</v>
      </c>
      <c r="I24">
        <f t="shared" si="0"/>
        <v>2688</v>
      </c>
    </row>
    <row r="25" spans="1:9">
      <c r="A25" s="3" t="s">
        <v>10</v>
      </c>
      <c r="B25" s="3" t="s">
        <v>26</v>
      </c>
      <c r="C25" s="3" t="s">
        <v>45</v>
      </c>
      <c r="D25" s="3">
        <v>10</v>
      </c>
      <c r="E25" s="3" t="s">
        <v>46</v>
      </c>
      <c r="F25" s="3" t="s">
        <v>47</v>
      </c>
      <c r="G25" s="3">
        <v>96</v>
      </c>
      <c r="H25" s="3">
        <f t="shared" si="1"/>
        <v>28</v>
      </c>
      <c r="I25">
        <f t="shared" si="0"/>
        <v>2688</v>
      </c>
    </row>
    <row r="26" spans="1:9">
      <c r="A26" s="3" t="s">
        <v>10</v>
      </c>
      <c r="B26" s="3" t="s">
        <v>35</v>
      </c>
      <c r="C26" s="3" t="s">
        <v>45</v>
      </c>
      <c r="D26" s="3">
        <v>10</v>
      </c>
      <c r="E26" s="3" t="s">
        <v>46</v>
      </c>
      <c r="F26" s="3" t="s">
        <v>47</v>
      </c>
      <c r="G26" s="3">
        <v>96</v>
      </c>
      <c r="H26" s="3">
        <f t="shared" si="1"/>
        <v>28</v>
      </c>
      <c r="I26">
        <f t="shared" si="0"/>
        <v>2688</v>
      </c>
    </row>
    <row r="27" spans="1:9">
      <c r="A27" s="3" t="s">
        <v>10</v>
      </c>
      <c r="B27" s="3" t="s">
        <v>36</v>
      </c>
      <c r="C27" s="3" t="s">
        <v>45</v>
      </c>
      <c r="D27" s="3">
        <v>10</v>
      </c>
      <c r="E27" s="3" t="s">
        <v>46</v>
      </c>
      <c r="F27" s="3" t="s">
        <v>47</v>
      </c>
      <c r="G27" s="3">
        <v>96</v>
      </c>
      <c r="H27" s="3">
        <f t="shared" si="1"/>
        <v>28</v>
      </c>
      <c r="I27">
        <f t="shared" si="0"/>
        <v>2688</v>
      </c>
    </row>
    <row r="28" spans="1:9">
      <c r="A28" s="3" t="s">
        <v>10</v>
      </c>
      <c r="B28" s="3" t="s">
        <v>21</v>
      </c>
      <c r="C28" s="3" t="s">
        <v>48</v>
      </c>
      <c r="D28" s="3">
        <v>8</v>
      </c>
      <c r="E28" s="3" t="s">
        <v>46</v>
      </c>
      <c r="F28" s="3" t="s">
        <v>49</v>
      </c>
      <c r="G28" s="3">
        <v>48</v>
      </c>
      <c r="H28" s="3">
        <f t="shared" si="1"/>
        <v>28</v>
      </c>
      <c r="I28">
        <f t="shared" si="0"/>
        <v>1344</v>
      </c>
    </row>
    <row r="29" spans="1:9">
      <c r="A29" s="3" t="s">
        <v>10</v>
      </c>
      <c r="B29" s="3" t="s">
        <v>26</v>
      </c>
      <c r="C29" s="3" t="s">
        <v>48</v>
      </c>
      <c r="D29" s="3">
        <v>6</v>
      </c>
      <c r="E29" s="3" t="s">
        <v>46</v>
      </c>
      <c r="F29" s="3" t="s">
        <v>49</v>
      </c>
      <c r="G29" s="3">
        <v>48</v>
      </c>
      <c r="H29" s="3">
        <f t="shared" si="1"/>
        <v>28</v>
      </c>
      <c r="I29">
        <f t="shared" si="0"/>
        <v>1344</v>
      </c>
    </row>
    <row r="30" spans="1:9">
      <c r="A30" s="3" t="s">
        <v>10</v>
      </c>
      <c r="B30" s="3" t="s">
        <v>50</v>
      </c>
      <c r="C30" s="3" t="s">
        <v>48</v>
      </c>
      <c r="D30" s="3">
        <v>16</v>
      </c>
      <c r="E30" s="3" t="s">
        <v>46</v>
      </c>
      <c r="F30" s="3" t="s">
        <v>49</v>
      </c>
      <c r="G30" s="3">
        <v>48</v>
      </c>
      <c r="H30" s="3">
        <f t="shared" si="1"/>
        <v>28</v>
      </c>
      <c r="I30">
        <f t="shared" si="0"/>
        <v>1344</v>
      </c>
    </row>
    <row r="31" spans="1:9">
      <c r="A31" s="3" t="s">
        <v>10</v>
      </c>
      <c r="B31" s="3" t="s">
        <v>41</v>
      </c>
      <c r="C31" s="3" t="s">
        <v>48</v>
      </c>
      <c r="D31" s="3">
        <v>3</v>
      </c>
      <c r="E31" s="3" t="s">
        <v>46</v>
      </c>
      <c r="F31" s="3" t="s">
        <v>49</v>
      </c>
      <c r="G31" s="3">
        <v>48</v>
      </c>
      <c r="H31" s="3">
        <f t="shared" si="1"/>
        <v>28</v>
      </c>
      <c r="I31">
        <f t="shared" si="0"/>
        <v>1344</v>
      </c>
    </row>
    <row r="32" spans="1:9">
      <c r="A32" s="3" t="s">
        <v>10</v>
      </c>
      <c r="B32" s="3" t="s">
        <v>38</v>
      </c>
      <c r="C32" s="3" t="s">
        <v>48</v>
      </c>
      <c r="D32" s="3">
        <v>3</v>
      </c>
      <c r="E32" s="3" t="s">
        <v>46</v>
      </c>
      <c r="F32" s="3" t="s">
        <v>49</v>
      </c>
      <c r="G32" s="3">
        <v>48</v>
      </c>
      <c r="H32" s="3">
        <f t="shared" si="1"/>
        <v>28</v>
      </c>
      <c r="I32">
        <f t="shared" si="0"/>
        <v>1344</v>
      </c>
    </row>
    <row r="33" spans="1:9">
      <c r="A33" s="3" t="s">
        <v>10</v>
      </c>
      <c r="B33" s="3" t="s">
        <v>42</v>
      </c>
      <c r="C33" s="3" t="s">
        <v>48</v>
      </c>
      <c r="D33" s="3">
        <v>3</v>
      </c>
      <c r="E33" s="3" t="s">
        <v>46</v>
      </c>
      <c r="F33" s="3" t="s">
        <v>49</v>
      </c>
      <c r="G33" s="3">
        <v>48</v>
      </c>
      <c r="H33" s="3">
        <f t="shared" si="1"/>
        <v>28</v>
      </c>
      <c r="I33">
        <f t="shared" si="0"/>
        <v>1344</v>
      </c>
    </row>
    <row r="34" spans="1:9">
      <c r="A34" s="3" t="s">
        <v>10</v>
      </c>
      <c r="B34" s="3" t="s">
        <v>43</v>
      </c>
      <c r="C34" s="3" t="s">
        <v>48</v>
      </c>
      <c r="D34" s="3">
        <v>3</v>
      </c>
      <c r="E34" s="3" t="s">
        <v>46</v>
      </c>
      <c r="F34" s="3" t="s">
        <v>49</v>
      </c>
      <c r="G34" s="3">
        <v>48</v>
      </c>
      <c r="H34" s="3">
        <f t="shared" si="1"/>
        <v>28</v>
      </c>
      <c r="I34">
        <f t="shared" si="0"/>
        <v>1344</v>
      </c>
    </row>
    <row r="35" spans="1:9">
      <c r="A35" s="3" t="s">
        <v>10</v>
      </c>
      <c r="B35" s="3" t="s">
        <v>44</v>
      </c>
      <c r="C35" s="3" t="s">
        <v>48</v>
      </c>
      <c r="D35" s="3">
        <v>3</v>
      </c>
      <c r="E35" s="3" t="s">
        <v>46</v>
      </c>
      <c r="F35" s="3" t="s">
        <v>49</v>
      </c>
      <c r="G35" s="3">
        <v>48</v>
      </c>
      <c r="H35" s="3">
        <f t="shared" si="1"/>
        <v>28</v>
      </c>
      <c r="I35">
        <f t="shared" si="0"/>
        <v>1344</v>
      </c>
    </row>
    <row r="36" spans="1:9">
      <c r="A36" s="3" t="s">
        <v>10</v>
      </c>
      <c r="B36" s="3" t="s">
        <v>35</v>
      </c>
      <c r="C36" s="3" t="s">
        <v>48</v>
      </c>
      <c r="D36" s="3">
        <v>6</v>
      </c>
      <c r="E36" s="3" t="s">
        <v>46</v>
      </c>
      <c r="F36" s="3" t="s">
        <v>49</v>
      </c>
      <c r="G36" s="3">
        <v>48</v>
      </c>
      <c r="H36" s="3">
        <f t="shared" si="1"/>
        <v>28</v>
      </c>
      <c r="I36">
        <f t="shared" si="0"/>
        <v>1344</v>
      </c>
    </row>
    <row r="37" spans="1:9">
      <c r="A37" s="3" t="s">
        <v>10</v>
      </c>
      <c r="B37" s="3" t="s">
        <v>36</v>
      </c>
      <c r="C37" s="3" t="s">
        <v>48</v>
      </c>
      <c r="D37" s="3">
        <v>6</v>
      </c>
      <c r="E37" s="3" t="s">
        <v>46</v>
      </c>
      <c r="F37" s="3" t="s">
        <v>49</v>
      </c>
      <c r="G37" s="3">
        <v>48</v>
      </c>
      <c r="H37" s="3">
        <f t="shared" si="1"/>
        <v>28</v>
      </c>
      <c r="I37">
        <f t="shared" si="0"/>
        <v>1344</v>
      </c>
    </row>
    <row r="38" spans="1:9">
      <c r="A38" s="3" t="s">
        <v>51</v>
      </c>
      <c r="B38" s="3" t="s">
        <v>34</v>
      </c>
      <c r="C38" s="3" t="s">
        <v>33</v>
      </c>
      <c r="D38" s="3">
        <v>1</v>
      </c>
      <c r="E38" s="4" t="s">
        <v>23</v>
      </c>
      <c r="F38" s="3" t="s">
        <v>14</v>
      </c>
      <c r="G38" s="3">
        <v>16</v>
      </c>
      <c r="H38" s="5">
        <f>5*2</f>
        <v>10</v>
      </c>
      <c r="I38">
        <f t="shared" si="0"/>
        <v>160</v>
      </c>
    </row>
    <row r="39" spans="1:9">
      <c r="A39" s="3" t="s">
        <v>51</v>
      </c>
      <c r="B39" s="3" t="s">
        <v>34</v>
      </c>
      <c r="C39" s="3" t="s">
        <v>52</v>
      </c>
      <c r="D39" s="3">
        <v>2</v>
      </c>
      <c r="E39" s="4" t="s">
        <v>23</v>
      </c>
      <c r="F39" s="5" t="s">
        <v>24</v>
      </c>
      <c r="G39" s="3">
        <f>4*4</f>
        <v>16</v>
      </c>
      <c r="H39" s="3">
        <f>5*4</f>
        <v>20</v>
      </c>
      <c r="I39">
        <f t="shared" si="0"/>
        <v>320</v>
      </c>
    </row>
    <row r="40" spans="1:9">
      <c r="A40" s="3" t="s">
        <v>51</v>
      </c>
      <c r="B40" s="3" t="s">
        <v>53</v>
      </c>
      <c r="C40" s="3" t="s">
        <v>39</v>
      </c>
      <c r="D40" s="3">
        <v>4</v>
      </c>
      <c r="E40" s="6" t="s">
        <v>23</v>
      </c>
      <c r="F40" s="3" t="s">
        <v>40</v>
      </c>
      <c r="G40" s="3">
        <v>24</v>
      </c>
      <c r="H40" s="3">
        <f t="shared" ref="H40:H46" si="2">7*4</f>
        <v>28</v>
      </c>
      <c r="I40">
        <f t="shared" si="0"/>
        <v>672</v>
      </c>
    </row>
    <row r="41" spans="1:9">
      <c r="A41" s="3" t="s">
        <v>51</v>
      </c>
      <c r="B41" s="3" t="s">
        <v>26</v>
      </c>
      <c r="C41" s="3" t="s">
        <v>45</v>
      </c>
      <c r="D41" s="3">
        <v>15</v>
      </c>
      <c r="E41" s="3" t="s">
        <v>46</v>
      </c>
      <c r="F41" s="3" t="s">
        <v>47</v>
      </c>
      <c r="G41" s="3">
        <v>96</v>
      </c>
      <c r="H41" s="3">
        <f t="shared" si="2"/>
        <v>28</v>
      </c>
      <c r="I41">
        <f t="shared" si="0"/>
        <v>2688</v>
      </c>
    </row>
    <row r="42" spans="1:9">
      <c r="A42" s="3" t="s">
        <v>51</v>
      </c>
      <c r="B42" s="3" t="s">
        <v>36</v>
      </c>
      <c r="C42" s="3" t="s">
        <v>45</v>
      </c>
      <c r="D42" s="3">
        <v>15</v>
      </c>
      <c r="E42" s="3" t="s">
        <v>46</v>
      </c>
      <c r="F42" s="3" t="s">
        <v>47</v>
      </c>
      <c r="G42" s="3">
        <v>96</v>
      </c>
      <c r="H42" s="3">
        <f t="shared" si="2"/>
        <v>28</v>
      </c>
      <c r="I42">
        <f t="shared" si="0"/>
        <v>2688</v>
      </c>
    </row>
    <row r="43" spans="1:9">
      <c r="A43" s="3" t="s">
        <v>51</v>
      </c>
      <c r="B43" s="3" t="s">
        <v>35</v>
      </c>
      <c r="C43" s="3" t="s">
        <v>45</v>
      </c>
      <c r="D43" s="3">
        <v>15</v>
      </c>
      <c r="E43" s="3" t="s">
        <v>46</v>
      </c>
      <c r="F43" s="3" t="s">
        <v>47</v>
      </c>
      <c r="G43" s="3">
        <v>96</v>
      </c>
      <c r="H43" s="3">
        <f t="shared" si="2"/>
        <v>28</v>
      </c>
      <c r="I43">
        <f t="shared" si="0"/>
        <v>2688</v>
      </c>
    </row>
    <row r="44" spans="1:9">
      <c r="A44" s="3" t="s">
        <v>51</v>
      </c>
      <c r="B44" s="3" t="s">
        <v>53</v>
      </c>
      <c r="C44" s="3" t="s">
        <v>48</v>
      </c>
      <c r="D44" s="3">
        <v>7</v>
      </c>
      <c r="E44" s="3" t="s">
        <v>46</v>
      </c>
      <c r="F44" s="3" t="s">
        <v>49</v>
      </c>
      <c r="G44" s="3">
        <v>48</v>
      </c>
      <c r="H44" s="3">
        <f t="shared" si="2"/>
        <v>28</v>
      </c>
      <c r="I44">
        <f t="shared" si="0"/>
        <v>1344</v>
      </c>
    </row>
    <row r="45" spans="1:9">
      <c r="A45" s="3" t="s">
        <v>51</v>
      </c>
      <c r="B45" s="3" t="s">
        <v>38</v>
      </c>
      <c r="C45" s="3" t="s">
        <v>48</v>
      </c>
      <c r="D45" s="3">
        <v>7</v>
      </c>
      <c r="E45" s="3" t="s">
        <v>46</v>
      </c>
      <c r="F45" s="3" t="s">
        <v>49</v>
      </c>
      <c r="G45" s="3">
        <v>48</v>
      </c>
      <c r="H45" s="3">
        <f t="shared" si="2"/>
        <v>28</v>
      </c>
      <c r="I45">
        <f t="shared" si="0"/>
        <v>1344</v>
      </c>
    </row>
    <row r="46" spans="1:9">
      <c r="A46" s="3" t="s">
        <v>51</v>
      </c>
      <c r="B46" s="3" t="s">
        <v>41</v>
      </c>
      <c r="C46" s="3" t="s">
        <v>48</v>
      </c>
      <c r="D46" s="3">
        <v>7</v>
      </c>
      <c r="E46" s="3" t="s">
        <v>46</v>
      </c>
      <c r="F46" s="3" t="s">
        <v>49</v>
      </c>
      <c r="G46" s="3">
        <v>48</v>
      </c>
      <c r="H46" s="3">
        <f t="shared" si="2"/>
        <v>28</v>
      </c>
      <c r="I46">
        <f t="shared" si="0"/>
        <v>1344</v>
      </c>
    </row>
  </sheetData>
  <sortState xmlns:xlrd2="http://schemas.microsoft.com/office/spreadsheetml/2017/richdata2" ref="A2:H46">
    <sortCondition ref="A2:A46"/>
    <sortCondition ref="E2:E46"/>
    <sortCondition ref="F2:F46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A15E-63C2-4CF1-A0FB-2A52DEBA8541}">
  <dimension ref="A1:J54"/>
  <sheetViews>
    <sheetView tabSelected="1" zoomScale="125" workbookViewId="0">
      <pane ySplit="1" topLeftCell="A2" activePane="bottomLeft" state="frozen"/>
      <selection pane="bottomLeft" activeCell="K32" sqref="K32"/>
    </sheetView>
  </sheetViews>
  <sheetFormatPr baseColWidth="10" defaultColWidth="11.5" defaultRowHeight="13"/>
  <cols>
    <col min="1" max="1" width="13.33203125" style="3" bestFit="1" customWidth="1"/>
    <col min="2" max="2" width="24.5" style="3" bestFit="1" customWidth="1"/>
    <col min="3" max="3" width="31.33203125" style="3" bestFit="1" customWidth="1"/>
    <col min="4" max="4" width="9.5" style="3" customWidth="1"/>
    <col min="5" max="5" width="11.5" style="3" customWidth="1"/>
    <col min="6" max="6" width="21.1640625" style="3" customWidth="1"/>
    <col min="7" max="7" width="9.5" style="3" customWidth="1"/>
    <col min="8" max="8" width="9.33203125" style="3" customWidth="1"/>
    <col min="9" max="9" width="11.5" customWidth="1"/>
    <col min="10" max="10" width="31.33203125" customWidth="1"/>
  </cols>
  <sheetData>
    <row r="1" spans="1:10" s="1" customFormat="1" ht="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1" t="s">
        <v>9</v>
      </c>
    </row>
    <row r="2" spans="1:10">
      <c r="A2" s="3" t="s">
        <v>10</v>
      </c>
      <c r="B2" s="3" t="s">
        <v>21</v>
      </c>
      <c r="C2" s="3" t="s">
        <v>22</v>
      </c>
      <c r="D2" s="3">
        <v>2</v>
      </c>
      <c r="E2" s="4" t="s">
        <v>23</v>
      </c>
      <c r="F2" s="5" t="s">
        <v>24</v>
      </c>
      <c r="G2" s="3">
        <v>30</v>
      </c>
      <c r="H2" s="3">
        <v>14</v>
      </c>
      <c r="I2">
        <f t="shared" ref="I2:I33" si="0">G2*H2</f>
        <v>420</v>
      </c>
      <c r="J2" t="s">
        <v>54</v>
      </c>
    </row>
    <row r="3" spans="1:10">
      <c r="A3" s="3" t="s">
        <v>10</v>
      </c>
      <c r="B3" s="3" t="s">
        <v>21</v>
      </c>
      <c r="C3" s="3" t="s">
        <v>25</v>
      </c>
      <c r="D3" s="3">
        <v>3</v>
      </c>
      <c r="E3" s="4" t="s">
        <v>23</v>
      </c>
      <c r="F3" s="5" t="s">
        <v>24</v>
      </c>
      <c r="G3" s="3">
        <v>30</v>
      </c>
      <c r="H3" s="3">
        <v>14</v>
      </c>
      <c r="I3">
        <f t="shared" si="0"/>
        <v>420</v>
      </c>
      <c r="J3" t="s">
        <v>54</v>
      </c>
    </row>
    <row r="4" spans="1:10">
      <c r="A4" s="3" t="s">
        <v>10</v>
      </c>
      <c r="B4" s="3" t="s">
        <v>21</v>
      </c>
      <c r="C4" s="3" t="s">
        <v>45</v>
      </c>
      <c r="D4" s="3">
        <v>10</v>
      </c>
      <c r="E4" s="3" t="s">
        <v>46</v>
      </c>
      <c r="F4" s="3" t="s">
        <v>47</v>
      </c>
      <c r="G4" s="3">
        <v>96</v>
      </c>
      <c r="H4" s="3">
        <f>7*4</f>
        <v>28</v>
      </c>
      <c r="I4">
        <f t="shared" si="0"/>
        <v>2688</v>
      </c>
      <c r="J4" t="s">
        <v>54</v>
      </c>
    </row>
    <row r="5" spans="1:10">
      <c r="A5" s="3" t="s">
        <v>10</v>
      </c>
      <c r="B5" s="3" t="s">
        <v>21</v>
      </c>
      <c r="C5" s="3" t="s">
        <v>48</v>
      </c>
      <c r="D5" s="3">
        <v>8</v>
      </c>
      <c r="E5" s="3" t="s">
        <v>46</v>
      </c>
      <c r="F5" s="3" t="s">
        <v>49</v>
      </c>
      <c r="G5" s="3">
        <v>48</v>
      </c>
      <c r="H5" s="3">
        <f>7*4</f>
        <v>28</v>
      </c>
      <c r="I5">
        <f t="shared" si="0"/>
        <v>1344</v>
      </c>
      <c r="J5" t="s">
        <v>54</v>
      </c>
    </row>
    <row r="6" spans="1:10">
      <c r="A6" s="3" t="s">
        <v>10</v>
      </c>
      <c r="B6" s="3" t="s">
        <v>55</v>
      </c>
      <c r="C6" s="3" t="s">
        <v>22</v>
      </c>
      <c r="D6" s="3">
        <v>1</v>
      </c>
      <c r="E6" s="4" t="s">
        <v>23</v>
      </c>
      <c r="F6" s="5" t="s">
        <v>24</v>
      </c>
      <c r="G6" s="3">
        <v>30</v>
      </c>
      <c r="H6" s="3">
        <v>14</v>
      </c>
      <c r="I6">
        <f t="shared" si="0"/>
        <v>420</v>
      </c>
      <c r="J6" s="3" t="s">
        <v>55</v>
      </c>
    </row>
    <row r="7" spans="1:10">
      <c r="A7" s="3" t="s">
        <v>10</v>
      </c>
      <c r="B7" s="3" t="s">
        <v>56</v>
      </c>
      <c r="C7" s="3" t="s">
        <v>22</v>
      </c>
      <c r="D7" s="3">
        <v>1</v>
      </c>
      <c r="E7" s="4" t="s">
        <v>23</v>
      </c>
      <c r="F7" s="5" t="s">
        <v>24</v>
      </c>
      <c r="G7" s="3">
        <v>30</v>
      </c>
      <c r="H7" s="3">
        <v>14</v>
      </c>
      <c r="I7">
        <f t="shared" si="0"/>
        <v>420</v>
      </c>
      <c r="J7" s="3" t="s">
        <v>56</v>
      </c>
    </row>
    <row r="8" spans="1:10">
      <c r="A8" s="3" t="s">
        <v>10</v>
      </c>
      <c r="B8" s="3" t="s">
        <v>57</v>
      </c>
      <c r="C8" s="3" t="s">
        <v>22</v>
      </c>
      <c r="D8" s="3">
        <v>1</v>
      </c>
      <c r="E8" s="4" t="s">
        <v>23</v>
      </c>
      <c r="F8" s="5" t="s">
        <v>24</v>
      </c>
      <c r="G8" s="3">
        <v>30</v>
      </c>
      <c r="H8" s="3">
        <v>14</v>
      </c>
      <c r="I8">
        <f t="shared" si="0"/>
        <v>420</v>
      </c>
      <c r="J8" s="3" t="s">
        <v>57</v>
      </c>
    </row>
    <row r="9" spans="1:10">
      <c r="A9" s="3" t="s">
        <v>10</v>
      </c>
      <c r="B9" s="3" t="s">
        <v>58</v>
      </c>
      <c r="C9" s="3" t="s">
        <v>22</v>
      </c>
      <c r="D9" s="3">
        <v>1</v>
      </c>
      <c r="E9" s="4" t="s">
        <v>23</v>
      </c>
      <c r="F9" s="5" t="s">
        <v>24</v>
      </c>
      <c r="G9" s="3">
        <v>30</v>
      </c>
      <c r="H9" s="3">
        <v>14</v>
      </c>
      <c r="I9">
        <f t="shared" si="0"/>
        <v>420</v>
      </c>
      <c r="J9" s="3" t="s">
        <v>58</v>
      </c>
    </row>
    <row r="10" spans="1:10">
      <c r="A10" s="3" t="s">
        <v>10</v>
      </c>
      <c r="B10" s="3" t="s">
        <v>26</v>
      </c>
      <c r="C10" s="3" t="s">
        <v>22</v>
      </c>
      <c r="D10" s="3">
        <v>1</v>
      </c>
      <c r="E10" s="4" t="s">
        <v>23</v>
      </c>
      <c r="F10" s="5" t="s">
        <v>24</v>
      </c>
      <c r="G10" s="3">
        <v>30</v>
      </c>
      <c r="H10" s="3">
        <v>14</v>
      </c>
      <c r="I10">
        <f t="shared" si="0"/>
        <v>420</v>
      </c>
      <c r="J10" t="s">
        <v>59</v>
      </c>
    </row>
    <row r="11" spans="1:10">
      <c r="A11" s="3" t="s">
        <v>10</v>
      </c>
      <c r="B11" s="3" t="s">
        <v>26</v>
      </c>
      <c r="C11" s="3" t="s">
        <v>45</v>
      </c>
      <c r="D11" s="3">
        <v>10</v>
      </c>
      <c r="E11" s="3" t="s">
        <v>46</v>
      </c>
      <c r="F11" s="3" t="s">
        <v>47</v>
      </c>
      <c r="G11" s="3">
        <v>96</v>
      </c>
      <c r="H11" s="3">
        <f>7*4</f>
        <v>28</v>
      </c>
      <c r="I11">
        <f t="shared" si="0"/>
        <v>2688</v>
      </c>
      <c r="J11" t="s">
        <v>59</v>
      </c>
    </row>
    <row r="12" spans="1:10">
      <c r="A12" s="3" t="s">
        <v>10</v>
      </c>
      <c r="B12" s="3" t="s">
        <v>26</v>
      </c>
      <c r="C12" s="3" t="s">
        <v>48</v>
      </c>
      <c r="D12" s="3">
        <v>6</v>
      </c>
      <c r="E12" s="3" t="s">
        <v>46</v>
      </c>
      <c r="F12" s="3" t="s">
        <v>49</v>
      </c>
      <c r="G12" s="3">
        <v>48</v>
      </c>
      <c r="H12" s="3">
        <f>7*4</f>
        <v>28</v>
      </c>
      <c r="I12">
        <f t="shared" si="0"/>
        <v>1344</v>
      </c>
      <c r="J12" t="s">
        <v>59</v>
      </c>
    </row>
    <row r="13" spans="1:10">
      <c r="A13" s="3" t="s">
        <v>10</v>
      </c>
      <c r="B13" s="3" t="s">
        <v>27</v>
      </c>
      <c r="C13" s="3" t="s">
        <v>28</v>
      </c>
      <c r="D13" s="3">
        <v>1</v>
      </c>
      <c r="E13" s="4" t="s">
        <v>23</v>
      </c>
      <c r="F13" s="5" t="s">
        <v>24</v>
      </c>
      <c r="G13" s="3">
        <v>20</v>
      </c>
      <c r="H13" s="3">
        <v>14</v>
      </c>
      <c r="I13">
        <f t="shared" si="0"/>
        <v>280</v>
      </c>
      <c r="J13" t="s">
        <v>60</v>
      </c>
    </row>
    <row r="14" spans="1:10">
      <c r="A14" s="3" t="s">
        <v>10</v>
      </c>
      <c r="B14" s="3" t="s">
        <v>27</v>
      </c>
      <c r="C14" s="3" t="s">
        <v>37</v>
      </c>
      <c r="D14" s="3">
        <v>1</v>
      </c>
      <c r="E14" s="4" t="s">
        <v>23</v>
      </c>
      <c r="F14" s="5" t="s">
        <v>24</v>
      </c>
      <c r="G14" s="3">
        <v>20</v>
      </c>
      <c r="H14" s="3">
        <v>14</v>
      </c>
      <c r="I14">
        <f t="shared" si="0"/>
        <v>280</v>
      </c>
      <c r="J14" t="s">
        <v>60</v>
      </c>
    </row>
    <row r="15" spans="1:10">
      <c r="A15" s="3" t="s">
        <v>10</v>
      </c>
      <c r="B15" s="3" t="s">
        <v>11</v>
      </c>
      <c r="C15" s="3" t="s">
        <v>12</v>
      </c>
      <c r="D15" s="3">
        <v>1</v>
      </c>
      <c r="E15" s="4" t="s">
        <v>13</v>
      </c>
      <c r="F15" s="3" t="s">
        <v>14</v>
      </c>
      <c r="G15" s="3">
        <v>16</v>
      </c>
      <c r="H15" s="7">
        <v>5</v>
      </c>
      <c r="I15">
        <f t="shared" si="0"/>
        <v>80</v>
      </c>
      <c r="J15" t="s">
        <v>61</v>
      </c>
    </row>
    <row r="16" spans="1:10">
      <c r="A16" s="3" t="s">
        <v>10</v>
      </c>
      <c r="B16" s="3" t="s">
        <v>50</v>
      </c>
      <c r="C16" s="3" t="s">
        <v>48</v>
      </c>
      <c r="D16" s="3">
        <v>16</v>
      </c>
      <c r="E16" s="3" t="s">
        <v>46</v>
      </c>
      <c r="F16" s="3" t="s">
        <v>49</v>
      </c>
      <c r="G16" s="3">
        <v>48</v>
      </c>
      <c r="H16" s="3">
        <f>7*4</f>
        <v>28</v>
      </c>
      <c r="I16">
        <f t="shared" si="0"/>
        <v>1344</v>
      </c>
      <c r="J16" t="s">
        <v>62</v>
      </c>
    </row>
    <row r="17" spans="1:10">
      <c r="A17" s="3" t="s">
        <v>10</v>
      </c>
      <c r="B17" s="3" t="s">
        <v>29</v>
      </c>
      <c r="C17" s="3" t="s">
        <v>30</v>
      </c>
      <c r="D17" s="3">
        <v>1</v>
      </c>
      <c r="E17" s="4" t="s">
        <v>23</v>
      </c>
      <c r="F17" s="5" t="s">
        <v>24</v>
      </c>
      <c r="G17" s="3">
        <v>30</v>
      </c>
      <c r="H17" s="3">
        <v>14</v>
      </c>
      <c r="I17">
        <f t="shared" si="0"/>
        <v>420</v>
      </c>
      <c r="J17" t="s">
        <v>63</v>
      </c>
    </row>
    <row r="18" spans="1:10">
      <c r="A18" s="3" t="s">
        <v>10</v>
      </c>
      <c r="B18" s="3" t="s">
        <v>29</v>
      </c>
      <c r="C18" s="3" t="s">
        <v>30</v>
      </c>
      <c r="D18" s="3">
        <v>1</v>
      </c>
      <c r="E18" s="4" t="s">
        <v>23</v>
      </c>
      <c r="F18" s="5" t="s">
        <v>24</v>
      </c>
      <c r="G18" s="3">
        <v>30</v>
      </c>
      <c r="H18" s="3">
        <v>14</v>
      </c>
      <c r="I18">
        <f t="shared" si="0"/>
        <v>420</v>
      </c>
      <c r="J18" t="s">
        <v>64</v>
      </c>
    </row>
    <row r="19" spans="1:10">
      <c r="A19" s="3" t="s">
        <v>10</v>
      </c>
      <c r="B19" s="3" t="s">
        <v>29</v>
      </c>
      <c r="C19" s="3" t="s">
        <v>30</v>
      </c>
      <c r="D19" s="3">
        <v>1</v>
      </c>
      <c r="E19" s="4" t="s">
        <v>23</v>
      </c>
      <c r="F19" s="5" t="s">
        <v>24</v>
      </c>
      <c r="G19" s="3">
        <v>30</v>
      </c>
      <c r="H19" s="3">
        <v>14</v>
      </c>
      <c r="I19">
        <f t="shared" si="0"/>
        <v>420</v>
      </c>
      <c r="J19" t="s">
        <v>65</v>
      </c>
    </row>
    <row r="20" spans="1:10">
      <c r="A20" s="3" t="s">
        <v>10</v>
      </c>
      <c r="B20" s="3" t="s">
        <v>34</v>
      </c>
      <c r="C20" s="3" t="s">
        <v>32</v>
      </c>
      <c r="D20" s="3">
        <v>1</v>
      </c>
      <c r="E20" s="4" t="s">
        <v>23</v>
      </c>
      <c r="F20" s="5" t="s">
        <v>24</v>
      </c>
      <c r="G20" s="3">
        <f t="shared" ref="G20:G25" si="1">5*5</f>
        <v>25</v>
      </c>
      <c r="H20" s="3">
        <v>14</v>
      </c>
      <c r="I20">
        <f t="shared" si="0"/>
        <v>350</v>
      </c>
      <c r="J20" t="s">
        <v>66</v>
      </c>
    </row>
    <row r="21" spans="1:10">
      <c r="A21" s="3" t="s">
        <v>10</v>
      </c>
      <c r="B21" s="3" t="s">
        <v>34</v>
      </c>
      <c r="C21" s="3" t="s">
        <v>32</v>
      </c>
      <c r="D21" s="3">
        <v>1</v>
      </c>
      <c r="E21" s="4" t="s">
        <v>23</v>
      </c>
      <c r="F21" s="5" t="s">
        <v>24</v>
      </c>
      <c r="G21" s="3">
        <f t="shared" si="1"/>
        <v>25</v>
      </c>
      <c r="H21" s="3">
        <v>14</v>
      </c>
      <c r="I21">
        <f t="shared" si="0"/>
        <v>350</v>
      </c>
      <c r="J21" t="s">
        <v>67</v>
      </c>
    </row>
    <row r="22" spans="1:10">
      <c r="A22" s="3" t="s">
        <v>10</v>
      </c>
      <c r="B22" s="3" t="s">
        <v>34</v>
      </c>
      <c r="C22" s="3" t="s">
        <v>33</v>
      </c>
      <c r="D22" s="3">
        <v>2</v>
      </c>
      <c r="E22" s="4" t="s">
        <v>23</v>
      </c>
      <c r="F22" s="5" t="s">
        <v>24</v>
      </c>
      <c r="G22" s="3">
        <f t="shared" si="1"/>
        <v>25</v>
      </c>
      <c r="H22" s="3">
        <v>14</v>
      </c>
      <c r="I22">
        <f t="shared" si="0"/>
        <v>350</v>
      </c>
      <c r="J22" t="s">
        <v>66</v>
      </c>
    </row>
    <row r="23" spans="1:10">
      <c r="A23" s="3" t="s">
        <v>10</v>
      </c>
      <c r="B23" s="3" t="s">
        <v>34</v>
      </c>
      <c r="C23" s="3" t="s">
        <v>33</v>
      </c>
      <c r="D23" s="3">
        <v>2</v>
      </c>
      <c r="E23" s="4" t="s">
        <v>23</v>
      </c>
      <c r="F23" s="5" t="s">
        <v>24</v>
      </c>
      <c r="G23" s="3">
        <f t="shared" si="1"/>
        <v>25</v>
      </c>
      <c r="H23" s="3">
        <v>14</v>
      </c>
      <c r="I23">
        <f t="shared" si="0"/>
        <v>350</v>
      </c>
      <c r="J23" t="s">
        <v>67</v>
      </c>
    </row>
    <row r="24" spans="1:10">
      <c r="A24" s="3" t="s">
        <v>10</v>
      </c>
      <c r="B24" s="3" t="s">
        <v>31</v>
      </c>
      <c r="C24" s="3" t="s">
        <v>32</v>
      </c>
      <c r="D24" s="3">
        <v>1</v>
      </c>
      <c r="E24" s="4" t="s">
        <v>23</v>
      </c>
      <c r="F24" s="5" t="s">
        <v>24</v>
      </c>
      <c r="G24" s="3">
        <f t="shared" si="1"/>
        <v>25</v>
      </c>
      <c r="H24" s="3">
        <v>14</v>
      </c>
      <c r="I24">
        <f t="shared" si="0"/>
        <v>350</v>
      </c>
      <c r="J24" t="s">
        <v>68</v>
      </c>
    </row>
    <row r="25" spans="1:10">
      <c r="A25" s="3" t="s">
        <v>10</v>
      </c>
      <c r="B25" s="3" t="s">
        <v>31</v>
      </c>
      <c r="C25" s="3" t="s">
        <v>33</v>
      </c>
      <c r="D25" s="3">
        <v>2</v>
      </c>
      <c r="E25" s="4" t="s">
        <v>23</v>
      </c>
      <c r="F25" s="5" t="s">
        <v>24</v>
      </c>
      <c r="G25" s="3">
        <f t="shared" si="1"/>
        <v>25</v>
      </c>
      <c r="H25" s="3">
        <v>14</v>
      </c>
      <c r="I25">
        <f t="shared" si="0"/>
        <v>350</v>
      </c>
      <c r="J25" t="s">
        <v>68</v>
      </c>
    </row>
    <row r="26" spans="1:10">
      <c r="A26" s="3" t="s">
        <v>10</v>
      </c>
      <c r="B26" s="3" t="s">
        <v>42</v>
      </c>
      <c r="C26" s="3" t="s">
        <v>39</v>
      </c>
      <c r="D26" s="3">
        <v>3</v>
      </c>
      <c r="E26" s="4" t="s">
        <v>23</v>
      </c>
      <c r="F26" s="3" t="s">
        <v>40</v>
      </c>
      <c r="G26" s="3">
        <v>24</v>
      </c>
      <c r="H26" s="3">
        <v>14</v>
      </c>
      <c r="I26">
        <f t="shared" si="0"/>
        <v>336</v>
      </c>
      <c r="J26" t="s">
        <v>69</v>
      </c>
    </row>
    <row r="27" spans="1:10">
      <c r="A27" s="3" t="s">
        <v>10</v>
      </c>
      <c r="B27" s="3" t="s">
        <v>42</v>
      </c>
      <c r="C27" s="3" t="s">
        <v>48</v>
      </c>
      <c r="D27" s="3">
        <v>3</v>
      </c>
      <c r="E27" s="3" t="s">
        <v>46</v>
      </c>
      <c r="F27" s="3" t="s">
        <v>49</v>
      </c>
      <c r="G27" s="3">
        <v>48</v>
      </c>
      <c r="H27" s="3">
        <f t="shared" ref="H27:H37" si="2">7*4</f>
        <v>28</v>
      </c>
      <c r="I27">
        <f t="shared" si="0"/>
        <v>1344</v>
      </c>
      <c r="J27" t="s">
        <v>69</v>
      </c>
    </row>
    <row r="28" spans="1:10">
      <c r="A28" s="3" t="s">
        <v>10</v>
      </c>
      <c r="B28" s="3" t="s">
        <v>44</v>
      </c>
      <c r="C28" s="3" t="s">
        <v>39</v>
      </c>
      <c r="D28" s="3">
        <v>3</v>
      </c>
      <c r="E28" s="4" t="s">
        <v>23</v>
      </c>
      <c r="F28" s="3" t="s">
        <v>40</v>
      </c>
      <c r="G28" s="3">
        <v>24</v>
      </c>
      <c r="H28" s="3">
        <v>14</v>
      </c>
      <c r="I28">
        <f t="shared" si="0"/>
        <v>336</v>
      </c>
      <c r="J28" t="s">
        <v>70</v>
      </c>
    </row>
    <row r="29" spans="1:10">
      <c r="A29" s="3" t="s">
        <v>10</v>
      </c>
      <c r="B29" s="3" t="s">
        <v>44</v>
      </c>
      <c r="C29" s="3" t="s">
        <v>48</v>
      </c>
      <c r="D29" s="3">
        <v>3</v>
      </c>
      <c r="E29" s="3" t="s">
        <v>46</v>
      </c>
      <c r="F29" s="3" t="s">
        <v>49</v>
      </c>
      <c r="G29" s="3">
        <v>48</v>
      </c>
      <c r="H29" s="3">
        <f t="shared" si="2"/>
        <v>28</v>
      </c>
      <c r="I29">
        <f t="shared" si="0"/>
        <v>1344</v>
      </c>
      <c r="J29" t="s">
        <v>70</v>
      </c>
    </row>
    <row r="30" spans="1:10">
      <c r="A30" s="3" t="s">
        <v>10</v>
      </c>
      <c r="B30" s="3" t="s">
        <v>43</v>
      </c>
      <c r="C30" s="3" t="s">
        <v>39</v>
      </c>
      <c r="D30" s="3">
        <v>3</v>
      </c>
      <c r="E30" s="4" t="s">
        <v>23</v>
      </c>
      <c r="F30" s="3" t="s">
        <v>40</v>
      </c>
      <c r="G30" s="3">
        <v>24</v>
      </c>
      <c r="H30" s="3">
        <v>14</v>
      </c>
      <c r="I30">
        <f t="shared" si="0"/>
        <v>336</v>
      </c>
      <c r="J30" t="s">
        <v>71</v>
      </c>
    </row>
    <row r="31" spans="1:10">
      <c r="A31" s="3" t="s">
        <v>10</v>
      </c>
      <c r="B31" s="3" t="s">
        <v>43</v>
      </c>
      <c r="C31" s="3" t="s">
        <v>48</v>
      </c>
      <c r="D31" s="3">
        <v>3</v>
      </c>
      <c r="E31" s="3" t="s">
        <v>46</v>
      </c>
      <c r="F31" s="3" t="s">
        <v>49</v>
      </c>
      <c r="G31" s="3">
        <v>48</v>
      </c>
      <c r="H31" s="3">
        <f t="shared" si="2"/>
        <v>28</v>
      </c>
      <c r="I31">
        <f t="shared" si="0"/>
        <v>1344</v>
      </c>
      <c r="J31" t="s">
        <v>71</v>
      </c>
    </row>
    <row r="32" spans="1:10">
      <c r="A32" s="3" t="s">
        <v>10</v>
      </c>
      <c r="B32" s="3" t="s">
        <v>38</v>
      </c>
      <c r="C32" s="3" t="s">
        <v>39</v>
      </c>
      <c r="D32" s="3">
        <v>1</v>
      </c>
      <c r="E32" s="4" t="s">
        <v>23</v>
      </c>
      <c r="F32" s="3" t="s">
        <v>40</v>
      </c>
      <c r="G32" s="3">
        <v>24</v>
      </c>
      <c r="H32" s="3">
        <v>14</v>
      </c>
      <c r="I32">
        <f t="shared" si="0"/>
        <v>336</v>
      </c>
      <c r="J32" t="s">
        <v>72</v>
      </c>
    </row>
    <row r="33" spans="1:10">
      <c r="A33" s="3" t="s">
        <v>10</v>
      </c>
      <c r="B33" s="3" t="s">
        <v>38</v>
      </c>
      <c r="C33" s="3" t="s">
        <v>48</v>
      </c>
      <c r="D33" s="3">
        <v>3</v>
      </c>
      <c r="E33" s="3" t="s">
        <v>46</v>
      </c>
      <c r="F33" s="3" t="s">
        <v>49</v>
      </c>
      <c r="G33" s="3">
        <v>48</v>
      </c>
      <c r="H33" s="3">
        <f t="shared" si="2"/>
        <v>28</v>
      </c>
      <c r="I33">
        <f t="shared" si="0"/>
        <v>1344</v>
      </c>
      <c r="J33" t="s">
        <v>72</v>
      </c>
    </row>
    <row r="34" spans="1:10">
      <c r="A34" s="3" t="s">
        <v>10</v>
      </c>
      <c r="B34" s="3" t="s">
        <v>38</v>
      </c>
      <c r="C34" s="3" t="s">
        <v>39</v>
      </c>
      <c r="D34" s="3">
        <v>1</v>
      </c>
      <c r="E34" s="4" t="s">
        <v>23</v>
      </c>
      <c r="F34" s="3" t="s">
        <v>40</v>
      </c>
      <c r="G34" s="3">
        <v>24</v>
      </c>
      <c r="H34" s="3">
        <v>14</v>
      </c>
      <c r="I34">
        <f t="shared" ref="I34:I50" si="3">G34*H34</f>
        <v>336</v>
      </c>
      <c r="J34" t="s">
        <v>73</v>
      </c>
    </row>
    <row r="35" spans="1:10">
      <c r="A35" s="3" t="s">
        <v>10</v>
      </c>
      <c r="B35" s="3" t="s">
        <v>38</v>
      </c>
      <c r="C35" s="3" t="s">
        <v>48</v>
      </c>
      <c r="D35" s="3">
        <v>3</v>
      </c>
      <c r="E35" s="3" t="s">
        <v>46</v>
      </c>
      <c r="F35" s="3" t="s">
        <v>49</v>
      </c>
      <c r="G35" s="3">
        <v>48</v>
      </c>
      <c r="H35" s="3">
        <f t="shared" si="2"/>
        <v>28</v>
      </c>
      <c r="I35">
        <f t="shared" si="3"/>
        <v>1344</v>
      </c>
      <c r="J35" t="s">
        <v>73</v>
      </c>
    </row>
    <row r="36" spans="1:10">
      <c r="A36" s="3" t="s">
        <v>10</v>
      </c>
      <c r="B36" s="3" t="s">
        <v>41</v>
      </c>
      <c r="C36" s="3" t="s">
        <v>39</v>
      </c>
      <c r="D36" s="3">
        <v>1</v>
      </c>
      <c r="E36" s="4" t="s">
        <v>23</v>
      </c>
      <c r="F36" s="3" t="s">
        <v>40</v>
      </c>
      <c r="G36" s="3">
        <v>24</v>
      </c>
      <c r="H36" s="3">
        <v>14</v>
      </c>
      <c r="I36">
        <f t="shared" si="3"/>
        <v>336</v>
      </c>
      <c r="J36" t="s">
        <v>74</v>
      </c>
    </row>
    <row r="37" spans="1:10">
      <c r="A37" s="3" t="s">
        <v>10</v>
      </c>
      <c r="B37" s="3" t="s">
        <v>41</v>
      </c>
      <c r="C37" s="3" t="s">
        <v>48</v>
      </c>
      <c r="D37" s="3">
        <v>3</v>
      </c>
      <c r="E37" s="3" t="s">
        <v>46</v>
      </c>
      <c r="F37" s="3" t="s">
        <v>49</v>
      </c>
      <c r="G37" s="3">
        <v>48</v>
      </c>
      <c r="H37" s="3">
        <f t="shared" si="2"/>
        <v>28</v>
      </c>
      <c r="I37">
        <f t="shared" si="3"/>
        <v>1344</v>
      </c>
      <c r="J37" t="s">
        <v>74</v>
      </c>
    </row>
    <row r="38" spans="1:10">
      <c r="A38" s="3" t="s">
        <v>10</v>
      </c>
      <c r="B38" s="3" t="s">
        <v>15</v>
      </c>
      <c r="C38" s="3" t="s">
        <v>12</v>
      </c>
      <c r="D38" s="3">
        <v>1</v>
      </c>
      <c r="E38" s="4" t="s">
        <v>13</v>
      </c>
      <c r="F38" s="3" t="s">
        <v>14</v>
      </c>
      <c r="G38" s="3">
        <v>16</v>
      </c>
      <c r="H38" s="7">
        <v>10</v>
      </c>
      <c r="I38">
        <f t="shared" si="3"/>
        <v>160</v>
      </c>
      <c r="J38" t="s">
        <v>61</v>
      </c>
    </row>
    <row r="39" spans="1:10">
      <c r="A39" s="3" t="s">
        <v>10</v>
      </c>
      <c r="B39" s="3" t="s">
        <v>16</v>
      </c>
      <c r="C39" s="3" t="s">
        <v>17</v>
      </c>
      <c r="D39" s="3">
        <v>1</v>
      </c>
      <c r="E39" s="4" t="s">
        <v>13</v>
      </c>
      <c r="F39" s="3" t="s">
        <v>14</v>
      </c>
      <c r="G39" s="3">
        <f>4*4</f>
        <v>16</v>
      </c>
      <c r="H39" s="7">
        <v>10</v>
      </c>
      <c r="I39">
        <f t="shared" si="3"/>
        <v>160</v>
      </c>
      <c r="J39" t="s">
        <v>61</v>
      </c>
    </row>
    <row r="40" spans="1:10">
      <c r="A40" s="3" t="s">
        <v>10</v>
      </c>
      <c r="B40" s="3" t="s">
        <v>16</v>
      </c>
      <c r="C40" s="3" t="s">
        <v>18</v>
      </c>
      <c r="D40" s="3">
        <v>1</v>
      </c>
      <c r="E40" s="4" t="s">
        <v>13</v>
      </c>
      <c r="F40" s="3" t="s">
        <v>14</v>
      </c>
      <c r="G40" s="3">
        <v>16</v>
      </c>
      <c r="H40" s="7">
        <v>10</v>
      </c>
      <c r="I40">
        <f t="shared" si="3"/>
        <v>160</v>
      </c>
      <c r="J40" t="s">
        <v>61</v>
      </c>
    </row>
    <row r="41" spans="1:10">
      <c r="A41" s="3" t="s">
        <v>10</v>
      </c>
      <c r="B41" s="3" t="s">
        <v>16</v>
      </c>
      <c r="C41" s="3" t="s">
        <v>19</v>
      </c>
      <c r="D41" s="3">
        <v>1</v>
      </c>
      <c r="E41" s="4" t="s">
        <v>13</v>
      </c>
      <c r="F41" s="3" t="s">
        <v>20</v>
      </c>
      <c r="G41" s="3">
        <v>1</v>
      </c>
      <c r="J41" t="s">
        <v>61</v>
      </c>
    </row>
    <row r="42" spans="1:10">
      <c r="A42" s="3" t="s">
        <v>10</v>
      </c>
      <c r="B42" s="3" t="s">
        <v>35</v>
      </c>
      <c r="C42" s="3" t="s">
        <v>22</v>
      </c>
      <c r="D42" s="3">
        <v>1</v>
      </c>
      <c r="E42" s="4" t="s">
        <v>23</v>
      </c>
      <c r="F42" s="5" t="s">
        <v>24</v>
      </c>
      <c r="G42" s="3">
        <v>30</v>
      </c>
      <c r="H42" s="3">
        <v>14</v>
      </c>
      <c r="I42">
        <f t="shared" si="3"/>
        <v>420</v>
      </c>
      <c r="J42" t="s">
        <v>75</v>
      </c>
    </row>
    <row r="43" spans="1:10">
      <c r="A43" s="3" t="s">
        <v>10</v>
      </c>
      <c r="B43" s="3" t="s">
        <v>35</v>
      </c>
      <c r="C43" s="3" t="s">
        <v>45</v>
      </c>
      <c r="D43" s="3">
        <v>10</v>
      </c>
      <c r="E43" s="3" t="s">
        <v>46</v>
      </c>
      <c r="F43" s="3" t="s">
        <v>47</v>
      </c>
      <c r="G43" s="3">
        <v>96</v>
      </c>
      <c r="H43" s="3">
        <f>7*4</f>
        <v>28</v>
      </c>
      <c r="I43">
        <f t="shared" si="3"/>
        <v>2688</v>
      </c>
      <c r="J43" t="s">
        <v>75</v>
      </c>
    </row>
    <row r="44" spans="1:10">
      <c r="A44" s="3" t="s">
        <v>10</v>
      </c>
      <c r="B44" s="3" t="s">
        <v>35</v>
      </c>
      <c r="C44" s="3" t="s">
        <v>48</v>
      </c>
      <c r="D44" s="3">
        <v>6</v>
      </c>
      <c r="E44" s="3" t="s">
        <v>46</v>
      </c>
      <c r="F44" s="3" t="s">
        <v>49</v>
      </c>
      <c r="G44" s="3">
        <v>48</v>
      </c>
      <c r="H44" s="3">
        <f>7*4</f>
        <v>28</v>
      </c>
      <c r="I44">
        <f t="shared" si="3"/>
        <v>1344</v>
      </c>
      <c r="J44" t="s">
        <v>75</v>
      </c>
    </row>
    <row r="45" spans="1:10">
      <c r="A45" s="3" t="s">
        <v>10</v>
      </c>
      <c r="B45" s="3" t="s">
        <v>35</v>
      </c>
      <c r="C45" s="3" t="s">
        <v>22</v>
      </c>
      <c r="D45" s="3">
        <v>1</v>
      </c>
      <c r="E45" s="4" t="s">
        <v>23</v>
      </c>
      <c r="F45" s="5" t="s">
        <v>24</v>
      </c>
      <c r="G45" s="3">
        <v>30</v>
      </c>
      <c r="H45" s="3">
        <v>14</v>
      </c>
      <c r="I45">
        <f t="shared" si="3"/>
        <v>420</v>
      </c>
      <c r="J45" t="s">
        <v>76</v>
      </c>
    </row>
    <row r="46" spans="1:10">
      <c r="A46" s="3" t="s">
        <v>10</v>
      </c>
      <c r="B46" s="3" t="s">
        <v>35</v>
      </c>
      <c r="C46" s="3" t="s">
        <v>45</v>
      </c>
      <c r="D46" s="3">
        <v>10</v>
      </c>
      <c r="E46" s="3" t="s">
        <v>46</v>
      </c>
      <c r="F46" s="3" t="s">
        <v>47</v>
      </c>
      <c r="G46" s="3">
        <v>96</v>
      </c>
      <c r="H46" s="3">
        <f>7*4</f>
        <v>28</v>
      </c>
      <c r="I46">
        <f t="shared" si="3"/>
        <v>2688</v>
      </c>
      <c r="J46" t="s">
        <v>76</v>
      </c>
    </row>
    <row r="47" spans="1:10">
      <c r="A47" s="3" t="s">
        <v>10</v>
      </c>
      <c r="B47" s="3" t="s">
        <v>35</v>
      </c>
      <c r="C47" s="3" t="s">
        <v>48</v>
      </c>
      <c r="D47" s="3">
        <v>6</v>
      </c>
      <c r="E47" s="3" t="s">
        <v>46</v>
      </c>
      <c r="F47" s="3" t="s">
        <v>49</v>
      </c>
      <c r="G47" s="3">
        <v>48</v>
      </c>
      <c r="H47" s="3">
        <f>7*4</f>
        <v>28</v>
      </c>
      <c r="I47">
        <f t="shared" si="3"/>
        <v>1344</v>
      </c>
      <c r="J47" t="s">
        <v>76</v>
      </c>
    </row>
    <row r="48" spans="1:10">
      <c r="A48" s="3" t="s">
        <v>10</v>
      </c>
      <c r="B48" s="3" t="s">
        <v>36</v>
      </c>
      <c r="C48" s="3" t="s">
        <v>22</v>
      </c>
      <c r="D48" s="3">
        <v>1</v>
      </c>
      <c r="E48" s="4" t="s">
        <v>23</v>
      </c>
      <c r="F48" s="5" t="s">
        <v>24</v>
      </c>
      <c r="G48" s="3">
        <v>30</v>
      </c>
      <c r="H48" s="3">
        <v>14</v>
      </c>
      <c r="I48">
        <f t="shared" si="3"/>
        <v>420</v>
      </c>
      <c r="J48" t="s">
        <v>77</v>
      </c>
    </row>
    <row r="49" spans="1:10">
      <c r="A49" s="3" t="s">
        <v>10</v>
      </c>
      <c r="B49" s="3" t="s">
        <v>36</v>
      </c>
      <c r="C49" s="3" t="s">
        <v>45</v>
      </c>
      <c r="D49" s="3">
        <v>10</v>
      </c>
      <c r="E49" s="3" t="s">
        <v>46</v>
      </c>
      <c r="F49" s="3" t="s">
        <v>47</v>
      </c>
      <c r="G49" s="3">
        <v>96</v>
      </c>
      <c r="H49" s="3">
        <f>7*4</f>
        <v>28</v>
      </c>
      <c r="I49">
        <f t="shared" si="3"/>
        <v>2688</v>
      </c>
      <c r="J49" t="s">
        <v>77</v>
      </c>
    </row>
    <row r="50" spans="1:10">
      <c r="A50" s="3" t="s">
        <v>10</v>
      </c>
      <c r="B50" s="3" t="s">
        <v>36</v>
      </c>
      <c r="C50" s="3" t="s">
        <v>48</v>
      </c>
      <c r="D50" s="3">
        <v>6</v>
      </c>
      <c r="E50" s="3" t="s">
        <v>46</v>
      </c>
      <c r="F50" s="3" t="s">
        <v>49</v>
      </c>
      <c r="G50" s="3">
        <v>48</v>
      </c>
      <c r="H50" s="3">
        <f>7*4</f>
        <v>28</v>
      </c>
      <c r="I50">
        <f t="shared" si="3"/>
        <v>1344</v>
      </c>
      <c r="J50" t="s">
        <v>77</v>
      </c>
    </row>
    <row r="51" spans="1:10">
      <c r="A51" s="3" t="s">
        <v>10</v>
      </c>
      <c r="B51" t="s">
        <v>78</v>
      </c>
      <c r="C51" s="3" t="s">
        <v>79</v>
      </c>
      <c r="D51" s="3">
        <v>1</v>
      </c>
      <c r="E51" s="3" t="s">
        <v>80</v>
      </c>
      <c r="I51" s="3"/>
      <c r="J51" t="s">
        <v>78</v>
      </c>
    </row>
    <row r="52" spans="1:10">
      <c r="A52" s="3" t="s">
        <v>10</v>
      </c>
      <c r="B52" t="s">
        <v>82</v>
      </c>
      <c r="C52" s="3" t="s">
        <v>37</v>
      </c>
      <c r="D52" s="3">
        <v>1</v>
      </c>
      <c r="E52" s="3" t="s">
        <v>80</v>
      </c>
      <c r="J52" t="s">
        <v>82</v>
      </c>
    </row>
    <row r="53" spans="1:10">
      <c r="A53" s="3" t="s">
        <v>10</v>
      </c>
      <c r="B53" t="s">
        <v>83</v>
      </c>
      <c r="C53" s="3" t="s">
        <v>79</v>
      </c>
      <c r="D53" s="3">
        <v>1</v>
      </c>
      <c r="E53" s="3" t="s">
        <v>80</v>
      </c>
      <c r="I53" s="3"/>
      <c r="J53" t="s">
        <v>83</v>
      </c>
    </row>
    <row r="54" spans="1:10">
      <c r="A54" s="3" t="s">
        <v>84</v>
      </c>
      <c r="B54" s="3" t="s">
        <v>85</v>
      </c>
      <c r="C54" s="3" t="s">
        <v>81</v>
      </c>
      <c r="D54" s="3" t="s">
        <v>81</v>
      </c>
      <c r="E54" s="3" t="s">
        <v>81</v>
      </c>
      <c r="F54" s="3" t="s">
        <v>81</v>
      </c>
      <c r="G54" s="3" t="s">
        <v>81</v>
      </c>
      <c r="H54" s="3" t="s">
        <v>81</v>
      </c>
      <c r="I54" s="3" t="s">
        <v>81</v>
      </c>
      <c r="J54" s="3" t="s">
        <v>85</v>
      </c>
    </row>
  </sheetData>
  <sortState xmlns:xlrd2="http://schemas.microsoft.com/office/spreadsheetml/2017/richdata2" ref="A2:J50">
    <sortCondition ref="B2:B50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62B0-A2FC-D94D-A1AE-A7A7B8D015EE}">
  <dimension ref="A1:D7"/>
  <sheetViews>
    <sheetView zoomScale="141" workbookViewId="0">
      <selection activeCell="B3" sqref="B3"/>
    </sheetView>
  </sheetViews>
  <sheetFormatPr baseColWidth="10" defaultColWidth="11.5" defaultRowHeight="13"/>
  <cols>
    <col min="1" max="1" width="11.1640625" bestFit="1" customWidth="1"/>
    <col min="2" max="2" width="11" customWidth="1"/>
  </cols>
  <sheetData>
    <row r="1" spans="1:4">
      <c r="A1" t="s">
        <v>86</v>
      </c>
      <c r="B1" t="s">
        <v>87</v>
      </c>
      <c r="C1" t="s">
        <v>88</v>
      </c>
    </row>
    <row r="2" spans="1:4">
      <c r="A2" t="s">
        <v>89</v>
      </c>
      <c r="B2">
        <v>24</v>
      </c>
      <c r="C2">
        <v>2</v>
      </c>
      <c r="D2">
        <f>B2*C2</f>
        <v>48</v>
      </c>
    </row>
    <row r="3" spans="1:4">
      <c r="A3" t="s">
        <v>90</v>
      </c>
      <c r="B3">
        <v>28</v>
      </c>
      <c r="C3">
        <v>5</v>
      </c>
      <c r="D3">
        <f>B3*C3</f>
        <v>140</v>
      </c>
    </row>
    <row r="7" spans="1:4">
      <c r="A7" t="s">
        <v>91</v>
      </c>
      <c r="B7" s="8">
        <v>788256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92F1-5371-7D49-88B9-1A0C085FB643}">
  <dimension ref="A2:D3"/>
  <sheetViews>
    <sheetView zoomScale="210" workbookViewId="0">
      <selection activeCell="D3" sqref="D3"/>
    </sheetView>
  </sheetViews>
  <sheetFormatPr baseColWidth="10" defaultColWidth="11.5" defaultRowHeight="13"/>
  <sheetData>
    <row r="2" spans="1:4" ht="15">
      <c r="A2" t="s">
        <v>91</v>
      </c>
      <c r="B2" s="9" t="s">
        <v>92</v>
      </c>
      <c r="C2" s="10">
        <v>788256</v>
      </c>
      <c r="D2" s="11">
        <f>C2/10</f>
        <v>78825.600000000006</v>
      </c>
    </row>
    <row r="3" spans="1:4" ht="15">
      <c r="A3" t="s">
        <v>93</v>
      </c>
      <c r="B3" s="9" t="s">
        <v>94</v>
      </c>
      <c r="C3" s="10">
        <v>438840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4190-97A0-B648-86E7-26BDE31B3437}">
  <dimension ref="A1"/>
  <sheetViews>
    <sheetView workbookViewId="0">
      <selection activeCell="J59" sqref="J59"/>
    </sheetView>
  </sheetViews>
  <sheetFormatPr baseColWidth="10" defaultColWidth="11.5" defaultRowHeight="1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E0FF-453D-47E8-B705-AB8CE28B14D2}">
  <dimension ref="A1:J42"/>
  <sheetViews>
    <sheetView workbookViewId="0">
      <selection sqref="A1:B1"/>
    </sheetView>
  </sheetViews>
  <sheetFormatPr baseColWidth="10" defaultColWidth="8.83203125" defaultRowHeight="13"/>
  <cols>
    <col min="1" max="1" width="30.5" bestFit="1" customWidth="1"/>
    <col min="2" max="2" width="74.1640625" customWidth="1"/>
    <col min="3" max="3" width="11.83203125" bestFit="1" customWidth="1"/>
    <col min="4" max="4" width="9.6640625" customWidth="1"/>
    <col min="5" max="6" width="9.1640625" customWidth="1"/>
    <col min="7" max="7" width="34" bestFit="1" customWidth="1"/>
    <col min="10" max="10" width="18.5" customWidth="1"/>
  </cols>
  <sheetData>
    <row r="1" spans="1:10" ht="17">
      <c r="A1" s="13" t="s">
        <v>95</v>
      </c>
      <c r="B1" s="14" t="s">
        <v>96</v>
      </c>
      <c r="C1" s="13" t="s">
        <v>97</v>
      </c>
      <c r="D1" s="13" t="s">
        <v>98</v>
      </c>
      <c r="E1" s="13" t="s">
        <v>99</v>
      </c>
      <c r="F1" s="13" t="s">
        <v>100</v>
      </c>
      <c r="G1" t="s">
        <v>2</v>
      </c>
      <c r="J1" s="2" t="s">
        <v>2</v>
      </c>
    </row>
    <row r="2" spans="1:10" ht="17">
      <c r="A2" s="13" t="s">
        <v>101</v>
      </c>
      <c r="B2" s="14" t="s">
        <v>102</v>
      </c>
      <c r="C2" s="13">
        <v>2217</v>
      </c>
      <c r="D2" s="13">
        <v>27131</v>
      </c>
      <c r="E2" s="13">
        <v>19435</v>
      </c>
      <c r="F2" s="13">
        <v>19435</v>
      </c>
      <c r="G2" s="3" t="s">
        <v>48</v>
      </c>
      <c r="J2" s="3" t="s">
        <v>22</v>
      </c>
    </row>
    <row r="3" spans="1:10" ht="17">
      <c r="A3" s="13" t="s">
        <v>101</v>
      </c>
      <c r="B3" s="14" t="s">
        <v>103</v>
      </c>
      <c r="C3" s="13">
        <v>2223</v>
      </c>
      <c r="D3" s="13">
        <v>27155</v>
      </c>
      <c r="E3" s="13">
        <v>19547</v>
      </c>
      <c r="F3" s="13">
        <v>19547</v>
      </c>
      <c r="G3" s="3" t="s">
        <v>48</v>
      </c>
      <c r="J3" s="3" t="s">
        <v>25</v>
      </c>
    </row>
    <row r="4" spans="1:10" ht="17">
      <c r="A4" s="13" t="s">
        <v>101</v>
      </c>
      <c r="B4" s="14" t="s">
        <v>104</v>
      </c>
      <c r="C4" s="13">
        <v>1978</v>
      </c>
      <c r="D4" s="13">
        <v>35799</v>
      </c>
      <c r="E4" s="13">
        <v>26692</v>
      </c>
      <c r="F4" s="13">
        <v>26692</v>
      </c>
      <c r="G4" s="3" t="s">
        <v>45</v>
      </c>
      <c r="J4" s="3" t="s">
        <v>45</v>
      </c>
    </row>
    <row r="5" spans="1:10" ht="17">
      <c r="A5" s="13" t="s">
        <v>101</v>
      </c>
      <c r="B5" s="14" t="s">
        <v>105</v>
      </c>
      <c r="C5" s="13">
        <v>1985</v>
      </c>
      <c r="D5" s="13">
        <v>26266</v>
      </c>
      <c r="E5" s="13">
        <v>17850</v>
      </c>
      <c r="F5" s="13">
        <v>17850</v>
      </c>
      <c r="G5" s="3" t="s">
        <v>45</v>
      </c>
      <c r="J5" s="3" t="s">
        <v>48</v>
      </c>
    </row>
    <row r="6" spans="1:10" ht="17">
      <c r="A6" s="13" t="s">
        <v>101</v>
      </c>
      <c r="B6" s="14" t="s">
        <v>106</v>
      </c>
      <c r="C6" s="13">
        <v>2000</v>
      </c>
      <c r="D6" s="13">
        <v>86155</v>
      </c>
      <c r="E6" s="13">
        <v>64012</v>
      </c>
      <c r="F6" s="13">
        <v>64012</v>
      </c>
      <c r="G6" s="3" t="s">
        <v>45</v>
      </c>
      <c r="J6" s="3" t="s">
        <v>28</v>
      </c>
    </row>
    <row r="7" spans="1:10" ht="17">
      <c r="A7" s="13" t="s">
        <v>101</v>
      </c>
      <c r="B7" s="14" t="s">
        <v>107</v>
      </c>
      <c r="C7" s="13">
        <v>1991</v>
      </c>
      <c r="D7" s="13">
        <v>37508</v>
      </c>
      <c r="E7" s="13">
        <v>27653</v>
      </c>
      <c r="F7" s="13">
        <v>27653</v>
      </c>
      <c r="G7" s="3" t="s">
        <v>45</v>
      </c>
      <c r="J7" s="3" t="s">
        <v>37</v>
      </c>
    </row>
    <row r="8" spans="1:10" ht="17">
      <c r="A8" s="13" t="s">
        <v>101</v>
      </c>
      <c r="B8" s="14" t="s">
        <v>108</v>
      </c>
      <c r="C8" s="13">
        <v>0</v>
      </c>
      <c r="D8" s="13">
        <v>11332</v>
      </c>
      <c r="E8" s="13">
        <v>1482</v>
      </c>
      <c r="F8" s="13">
        <v>1482</v>
      </c>
      <c r="J8" s="3" t="s">
        <v>12</v>
      </c>
    </row>
    <row r="9" spans="1:10" ht="17">
      <c r="A9" s="13" t="s">
        <v>101</v>
      </c>
      <c r="B9" s="14" t="s">
        <v>109</v>
      </c>
      <c r="C9" s="13">
        <v>2204</v>
      </c>
      <c r="D9" s="13">
        <v>27274</v>
      </c>
      <c r="E9" s="13">
        <v>19492</v>
      </c>
      <c r="F9" s="13">
        <v>19492</v>
      </c>
      <c r="G9" s="3" t="s">
        <v>48</v>
      </c>
      <c r="J9" s="3" t="s">
        <v>30</v>
      </c>
    </row>
    <row r="10" spans="1:10" ht="17">
      <c r="A10" s="13" t="s">
        <v>101</v>
      </c>
      <c r="B10" s="14" t="s">
        <v>110</v>
      </c>
      <c r="C10" s="13">
        <v>0</v>
      </c>
      <c r="D10" s="13">
        <v>22</v>
      </c>
      <c r="E10" s="13">
        <v>20</v>
      </c>
      <c r="F10" s="13">
        <v>20</v>
      </c>
      <c r="G10" s="3" t="s">
        <v>48</v>
      </c>
      <c r="J10" s="3" t="s">
        <v>32</v>
      </c>
    </row>
    <row r="11" spans="1:10" ht="17">
      <c r="A11" s="13" t="s">
        <v>101</v>
      </c>
      <c r="B11" s="14" t="s">
        <v>111</v>
      </c>
      <c r="C11" s="13">
        <v>1362</v>
      </c>
      <c r="D11" s="13">
        <v>13628</v>
      </c>
      <c r="E11" s="13">
        <v>6500</v>
      </c>
      <c r="F11" s="13">
        <v>6500</v>
      </c>
      <c r="G11" t="s">
        <v>22</v>
      </c>
      <c r="J11" s="3" t="s">
        <v>33</v>
      </c>
    </row>
    <row r="12" spans="1:10" ht="17">
      <c r="A12" s="13" t="s">
        <v>112</v>
      </c>
      <c r="B12" s="14" t="s">
        <v>111</v>
      </c>
      <c r="C12" s="13">
        <v>61</v>
      </c>
      <c r="D12" s="13">
        <v>4170</v>
      </c>
      <c r="E12" s="13">
        <v>988</v>
      </c>
      <c r="F12" s="13">
        <v>988</v>
      </c>
      <c r="G12" t="s">
        <v>22</v>
      </c>
      <c r="J12" s="3" t="s">
        <v>39</v>
      </c>
    </row>
    <row r="13" spans="1:10" ht="17">
      <c r="A13" s="13" t="s">
        <v>113</v>
      </c>
      <c r="B13" s="14" t="s">
        <v>102</v>
      </c>
      <c r="C13" s="13">
        <v>145</v>
      </c>
      <c r="D13" s="13">
        <v>3125</v>
      </c>
      <c r="E13" s="13">
        <v>1727</v>
      </c>
      <c r="F13" s="13">
        <v>1727</v>
      </c>
      <c r="G13" s="3" t="s">
        <v>48</v>
      </c>
      <c r="J13" s="3" t="s">
        <v>17</v>
      </c>
    </row>
    <row r="14" spans="1:10" ht="17">
      <c r="A14" s="13" t="s">
        <v>113</v>
      </c>
      <c r="B14" s="14" t="s">
        <v>103</v>
      </c>
      <c r="C14" s="13">
        <v>157</v>
      </c>
      <c r="D14" s="13">
        <v>3081</v>
      </c>
      <c r="E14" s="13">
        <v>1731</v>
      </c>
      <c r="F14" s="13">
        <v>1731</v>
      </c>
      <c r="G14" s="3" t="s">
        <v>48</v>
      </c>
      <c r="J14" s="3" t="s">
        <v>18</v>
      </c>
    </row>
    <row r="15" spans="1:10" ht="17">
      <c r="A15" s="13" t="s">
        <v>113</v>
      </c>
      <c r="B15" s="14" t="s">
        <v>104</v>
      </c>
      <c r="C15" s="13">
        <v>112</v>
      </c>
      <c r="D15" s="13">
        <v>2571</v>
      </c>
      <c r="E15" s="13">
        <v>1626</v>
      </c>
      <c r="F15" s="13">
        <v>1626</v>
      </c>
      <c r="G15" s="3" t="s">
        <v>45</v>
      </c>
      <c r="J15" s="3" t="s">
        <v>19</v>
      </c>
    </row>
    <row r="16" spans="1:10" ht="17">
      <c r="A16" s="13" t="s">
        <v>113</v>
      </c>
      <c r="B16" s="14" t="s">
        <v>105</v>
      </c>
      <c r="C16" s="13">
        <v>119</v>
      </c>
      <c r="D16" s="13">
        <v>2365</v>
      </c>
      <c r="E16" s="13">
        <v>1225</v>
      </c>
      <c r="F16" s="13">
        <v>1225</v>
      </c>
      <c r="G16" s="3" t="s">
        <v>45</v>
      </c>
      <c r="J16" s="3" t="s">
        <v>79</v>
      </c>
    </row>
    <row r="17" spans="1:10" ht="17">
      <c r="A17" s="13" t="s">
        <v>113</v>
      </c>
      <c r="B17" s="14" t="s">
        <v>106</v>
      </c>
      <c r="C17" s="13">
        <v>135</v>
      </c>
      <c r="D17" s="13">
        <v>8580</v>
      </c>
      <c r="E17" s="13">
        <v>5274</v>
      </c>
      <c r="F17" s="13">
        <v>5274</v>
      </c>
      <c r="G17" s="3" t="s">
        <v>45</v>
      </c>
      <c r="J17" s="3" t="s">
        <v>81</v>
      </c>
    </row>
    <row r="18" spans="1:10" ht="17">
      <c r="A18" s="13" t="s">
        <v>113</v>
      </c>
      <c r="B18" s="14" t="s">
        <v>107</v>
      </c>
      <c r="C18" s="13">
        <v>133</v>
      </c>
      <c r="D18" s="13">
        <v>3972</v>
      </c>
      <c r="E18" s="13">
        <v>2479</v>
      </c>
      <c r="F18" s="13">
        <v>2479</v>
      </c>
      <c r="G18" s="3" t="s">
        <v>45</v>
      </c>
      <c r="J18" s="3"/>
    </row>
    <row r="19" spans="1:10" ht="17">
      <c r="A19" s="13" t="s">
        <v>113</v>
      </c>
      <c r="B19" s="14" t="s">
        <v>108</v>
      </c>
      <c r="C19" s="13">
        <v>0</v>
      </c>
      <c r="D19" s="13">
        <v>2432</v>
      </c>
      <c r="E19" s="13">
        <v>132</v>
      </c>
      <c r="F19" s="13">
        <v>132</v>
      </c>
    </row>
    <row r="20" spans="1:10" ht="17">
      <c r="A20" s="13" t="s">
        <v>113</v>
      </c>
      <c r="B20" s="14" t="s">
        <v>109</v>
      </c>
      <c r="C20" s="13">
        <v>162</v>
      </c>
      <c r="D20" s="13">
        <v>3640</v>
      </c>
      <c r="E20" s="13">
        <v>2007</v>
      </c>
      <c r="F20" s="13">
        <v>2007</v>
      </c>
      <c r="G20" s="3" t="s">
        <v>48</v>
      </c>
    </row>
    <row r="21" spans="1:10" ht="17">
      <c r="A21" s="13" t="s">
        <v>113</v>
      </c>
      <c r="B21" s="14" t="s">
        <v>111</v>
      </c>
      <c r="C21" s="13">
        <v>54</v>
      </c>
      <c r="D21" s="13">
        <v>1823</v>
      </c>
      <c r="E21" s="13">
        <v>413</v>
      </c>
      <c r="F21" s="13">
        <v>413</v>
      </c>
      <c r="G21" s="3" t="s">
        <v>22</v>
      </c>
    </row>
    <row r="22" spans="1:10" ht="17">
      <c r="A22" s="13" t="s">
        <v>114</v>
      </c>
      <c r="B22" s="14" t="s">
        <v>115</v>
      </c>
      <c r="C22" s="13">
        <v>528</v>
      </c>
      <c r="D22" s="13">
        <v>4735</v>
      </c>
      <c r="E22" s="13">
        <v>1643</v>
      </c>
      <c r="F22" s="13">
        <v>1507</v>
      </c>
      <c r="G22" s="3" t="s">
        <v>79</v>
      </c>
    </row>
    <row r="23" spans="1:10" ht="17">
      <c r="A23" s="13" t="s">
        <v>116</v>
      </c>
      <c r="B23" s="14" t="s">
        <v>117</v>
      </c>
      <c r="C23" s="13">
        <v>0</v>
      </c>
      <c r="D23" s="13">
        <v>2</v>
      </c>
      <c r="E23" s="13">
        <v>0</v>
      </c>
      <c r="F23" s="13">
        <v>0</v>
      </c>
      <c r="G23" s="3" t="s">
        <v>33</v>
      </c>
    </row>
    <row r="24" spans="1:10" ht="17">
      <c r="A24" s="13" t="s">
        <v>116</v>
      </c>
      <c r="B24" s="14" t="s">
        <v>118</v>
      </c>
      <c r="C24" s="13">
        <v>0</v>
      </c>
      <c r="D24" s="13">
        <v>1</v>
      </c>
      <c r="E24" s="13">
        <v>0</v>
      </c>
      <c r="F24" s="13">
        <v>0</v>
      </c>
      <c r="G24" s="3" t="s">
        <v>32</v>
      </c>
    </row>
    <row r="25" spans="1:10" ht="17">
      <c r="A25" s="13" t="s">
        <v>119</v>
      </c>
      <c r="B25" s="14" t="s">
        <v>120</v>
      </c>
      <c r="C25" s="13">
        <v>125</v>
      </c>
      <c r="D25" s="13">
        <v>1231</v>
      </c>
      <c r="E25" s="13">
        <v>971</v>
      </c>
      <c r="F25" s="13">
        <v>929</v>
      </c>
      <c r="G25" t="s">
        <v>121</v>
      </c>
    </row>
    <row r="26" spans="1:10" ht="34">
      <c r="A26" s="13" t="s">
        <v>119</v>
      </c>
      <c r="B26" s="14" t="s">
        <v>122</v>
      </c>
      <c r="C26" s="13">
        <v>135</v>
      </c>
      <c r="D26" s="13">
        <v>7992</v>
      </c>
      <c r="E26" s="13">
        <v>4599</v>
      </c>
      <c r="F26" s="13">
        <v>4599</v>
      </c>
      <c r="G26" s="3" t="s">
        <v>48</v>
      </c>
    </row>
    <row r="27" spans="1:10" ht="17">
      <c r="A27" s="13" t="s">
        <v>119</v>
      </c>
      <c r="B27" s="14" t="s">
        <v>123</v>
      </c>
      <c r="C27" s="13">
        <v>142</v>
      </c>
      <c r="D27" s="13">
        <v>8043</v>
      </c>
      <c r="E27" s="13">
        <v>4607</v>
      </c>
      <c r="F27" s="13">
        <v>4607</v>
      </c>
      <c r="G27" s="3" t="s">
        <v>48</v>
      </c>
    </row>
    <row r="28" spans="1:10" ht="17">
      <c r="A28" s="13" t="s">
        <v>124</v>
      </c>
      <c r="B28" s="14" t="s">
        <v>125</v>
      </c>
      <c r="C28" s="13">
        <v>101</v>
      </c>
      <c r="D28" s="13">
        <v>744</v>
      </c>
      <c r="E28" s="13">
        <v>0</v>
      </c>
      <c r="F28" s="13">
        <v>0</v>
      </c>
      <c r="G28" t="s">
        <v>81</v>
      </c>
    </row>
    <row r="29" spans="1:10" ht="17">
      <c r="A29" s="13" t="s">
        <v>124</v>
      </c>
      <c r="B29" s="14" t="s">
        <v>126</v>
      </c>
      <c r="C29" s="13">
        <v>101</v>
      </c>
      <c r="D29" s="13">
        <v>744</v>
      </c>
      <c r="E29" s="13">
        <v>0</v>
      </c>
      <c r="F29" s="13">
        <v>0</v>
      </c>
      <c r="G29" t="s">
        <v>81</v>
      </c>
    </row>
    <row r="30" spans="1:10" ht="17">
      <c r="A30" s="13" t="s">
        <v>127</v>
      </c>
      <c r="B30" s="14" t="s">
        <v>125</v>
      </c>
      <c r="C30" s="13">
        <v>103</v>
      </c>
      <c r="D30" s="13">
        <v>738</v>
      </c>
      <c r="E30" s="13">
        <v>0</v>
      </c>
      <c r="F30" s="13">
        <v>0</v>
      </c>
      <c r="G30" t="s">
        <v>81</v>
      </c>
    </row>
    <row r="31" spans="1:10" ht="17">
      <c r="A31" s="13" t="s">
        <v>127</v>
      </c>
      <c r="B31" s="14" t="s">
        <v>126</v>
      </c>
      <c r="C31" s="13">
        <v>103</v>
      </c>
      <c r="D31" s="13">
        <v>738</v>
      </c>
      <c r="E31" s="13">
        <v>0</v>
      </c>
      <c r="F31" s="13">
        <v>0</v>
      </c>
      <c r="G31" t="s">
        <v>81</v>
      </c>
    </row>
    <row r="32" spans="1:10" ht="17">
      <c r="A32" s="13" t="s">
        <v>128</v>
      </c>
      <c r="B32" s="14" t="s">
        <v>125</v>
      </c>
      <c r="C32" s="13">
        <v>103</v>
      </c>
      <c r="D32" s="13">
        <v>3393</v>
      </c>
      <c r="E32" s="13">
        <v>0</v>
      </c>
      <c r="F32" s="13">
        <v>0</v>
      </c>
      <c r="G32" t="s">
        <v>81</v>
      </c>
    </row>
    <row r="33" spans="1:7" ht="17">
      <c r="A33" s="13" t="s">
        <v>128</v>
      </c>
      <c r="B33" s="14" t="s">
        <v>126</v>
      </c>
      <c r="C33" s="13">
        <v>103</v>
      </c>
      <c r="D33" s="13">
        <v>3393</v>
      </c>
      <c r="E33" s="13">
        <v>0</v>
      </c>
      <c r="F33" s="13">
        <v>0</v>
      </c>
      <c r="G33" t="s">
        <v>81</v>
      </c>
    </row>
    <row r="34" spans="1:7" ht="17">
      <c r="A34" s="13" t="s">
        <v>129</v>
      </c>
      <c r="B34" s="14" t="s">
        <v>130</v>
      </c>
      <c r="C34" s="13">
        <v>0</v>
      </c>
      <c r="D34" s="13">
        <v>397</v>
      </c>
      <c r="E34" s="13">
        <v>207</v>
      </c>
      <c r="F34" s="13">
        <v>207</v>
      </c>
      <c r="G34" s="3" t="s">
        <v>30</v>
      </c>
    </row>
    <row r="35" spans="1:7" ht="17">
      <c r="A35" s="13" t="s">
        <v>131</v>
      </c>
      <c r="B35" s="14" t="s">
        <v>130</v>
      </c>
      <c r="C35" s="13">
        <v>0</v>
      </c>
      <c r="D35" s="13">
        <v>1022</v>
      </c>
      <c r="E35" s="13">
        <v>183</v>
      </c>
      <c r="F35" s="13">
        <v>147</v>
      </c>
      <c r="G35" s="3" t="s">
        <v>30</v>
      </c>
    </row>
    <row r="36" spans="1:7" ht="17">
      <c r="A36" s="13" t="s">
        <v>132</v>
      </c>
      <c r="B36" s="14" t="s">
        <v>117</v>
      </c>
      <c r="C36" s="13">
        <v>119</v>
      </c>
      <c r="D36" s="13">
        <v>6537</v>
      </c>
      <c r="E36" s="13">
        <v>2010</v>
      </c>
      <c r="F36" s="13">
        <v>2010</v>
      </c>
      <c r="G36" s="3" t="s">
        <v>33</v>
      </c>
    </row>
    <row r="37" spans="1:7" ht="17">
      <c r="A37" s="13" t="s">
        <v>132</v>
      </c>
      <c r="B37" s="14" t="s">
        <v>118</v>
      </c>
      <c r="C37" s="13">
        <v>79</v>
      </c>
      <c r="D37" s="13">
        <v>3417</v>
      </c>
      <c r="E37" s="13">
        <v>853</v>
      </c>
      <c r="F37" s="13">
        <v>853</v>
      </c>
      <c r="G37" s="3" t="s">
        <v>28</v>
      </c>
    </row>
    <row r="38" spans="1:7" ht="17">
      <c r="A38" s="13" t="s">
        <v>133</v>
      </c>
      <c r="B38" s="14" t="s">
        <v>134</v>
      </c>
      <c r="C38" s="13">
        <v>92</v>
      </c>
      <c r="D38" s="13">
        <v>2849</v>
      </c>
      <c r="E38" s="13">
        <v>870</v>
      </c>
      <c r="F38" s="13">
        <v>870</v>
      </c>
      <c r="G38" s="3" t="s">
        <v>37</v>
      </c>
    </row>
    <row r="39" spans="1:7" ht="17">
      <c r="A39" s="13" t="s">
        <v>135</v>
      </c>
      <c r="B39" s="14" t="s">
        <v>136</v>
      </c>
      <c r="C39" s="13">
        <v>144</v>
      </c>
      <c r="D39" s="13">
        <v>6653</v>
      </c>
      <c r="E39" s="13">
        <v>3852</v>
      </c>
      <c r="F39" s="13">
        <v>3852</v>
      </c>
      <c r="G39" s="3" t="s">
        <v>48</v>
      </c>
    </row>
    <row r="40" spans="1:7" ht="17">
      <c r="A40" s="13" t="s">
        <v>135</v>
      </c>
      <c r="B40" s="14" t="s">
        <v>137</v>
      </c>
      <c r="C40" s="13">
        <v>7</v>
      </c>
      <c r="D40" s="13">
        <v>868</v>
      </c>
      <c r="E40" s="13">
        <v>322</v>
      </c>
      <c r="F40" s="13">
        <v>322</v>
      </c>
      <c r="G40" s="3" t="s">
        <v>39</v>
      </c>
    </row>
    <row r="41" spans="1:7" ht="17">
      <c r="A41" s="13" t="s">
        <v>138</v>
      </c>
      <c r="B41" s="14" t="s">
        <v>136</v>
      </c>
      <c r="C41" s="13">
        <v>2428</v>
      </c>
      <c r="D41" s="13">
        <v>116646</v>
      </c>
      <c r="E41" s="13">
        <v>81828</v>
      </c>
      <c r="F41" s="13">
        <v>81828</v>
      </c>
      <c r="G41" s="3" t="s">
        <v>48</v>
      </c>
    </row>
    <row r="42" spans="1:7" ht="17">
      <c r="A42" s="13" t="s">
        <v>138</v>
      </c>
      <c r="B42" s="14" t="s">
        <v>137</v>
      </c>
      <c r="C42" s="13">
        <v>2258</v>
      </c>
      <c r="D42" s="13">
        <v>60086</v>
      </c>
      <c r="E42" s="13">
        <v>30975</v>
      </c>
      <c r="F42" s="13">
        <v>30975</v>
      </c>
      <c r="G42" s="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DB56-0CF8-4762-89DC-5F7DB272040A}">
  <dimension ref="A1:H34"/>
  <sheetViews>
    <sheetView topLeftCell="B1" workbookViewId="0">
      <selection activeCell="C1" sqref="C1:H1048576"/>
    </sheetView>
  </sheetViews>
  <sheetFormatPr baseColWidth="10" defaultColWidth="9.1640625" defaultRowHeight="13"/>
  <cols>
    <col min="1" max="1" width="37.33203125" customWidth="1"/>
    <col min="2" max="2" width="84.1640625" customWidth="1"/>
    <col min="3" max="3" width="24.6640625" customWidth="1"/>
    <col min="4" max="4" width="23.6640625" customWidth="1"/>
    <col min="5" max="5" width="28.5" customWidth="1"/>
    <col min="6" max="6" width="29.5" customWidth="1"/>
    <col min="7" max="7" width="17" bestFit="1" customWidth="1"/>
    <col min="8" max="8" width="17.5" bestFit="1" customWidth="1"/>
  </cols>
  <sheetData>
    <row r="1" spans="1:8" ht="17">
      <c r="A1" s="13" t="s">
        <v>95</v>
      </c>
      <c r="B1" s="14" t="s">
        <v>96</v>
      </c>
      <c r="C1" t="s">
        <v>2</v>
      </c>
      <c r="D1" s="15" t="s">
        <v>139</v>
      </c>
      <c r="E1" s="15" t="s">
        <v>140</v>
      </c>
      <c r="F1" s="15" t="s">
        <v>141</v>
      </c>
      <c r="G1" t="s">
        <v>142</v>
      </c>
      <c r="H1" t="s">
        <v>143</v>
      </c>
    </row>
    <row r="2" spans="1:8" ht="17">
      <c r="A2" s="16" t="s">
        <v>101</v>
      </c>
      <c r="B2" s="16" t="s">
        <v>103</v>
      </c>
      <c r="C2" s="3" t="s">
        <v>48</v>
      </c>
      <c r="D2" s="16">
        <v>27089</v>
      </c>
      <c r="E2" s="16">
        <v>17944</v>
      </c>
      <c r="F2" s="16">
        <v>17941</v>
      </c>
      <c r="G2">
        <f>D2-E2</f>
        <v>9145</v>
      </c>
      <c r="H2">
        <f>D2-F2</f>
        <v>9148</v>
      </c>
    </row>
    <row r="3" spans="1:8" ht="17">
      <c r="A3" s="16" t="s">
        <v>101</v>
      </c>
      <c r="B3" s="16" t="s">
        <v>104</v>
      </c>
      <c r="C3" s="3" t="s">
        <v>45</v>
      </c>
      <c r="D3" s="16">
        <v>201</v>
      </c>
      <c r="E3" s="16" t="s">
        <v>144</v>
      </c>
      <c r="F3" s="16" t="s">
        <v>144</v>
      </c>
      <c r="G3">
        <v>201</v>
      </c>
      <c r="H3">
        <v>201</v>
      </c>
    </row>
    <row r="4" spans="1:8" ht="17">
      <c r="A4" s="16" t="s">
        <v>101</v>
      </c>
      <c r="B4" s="16" t="s">
        <v>145</v>
      </c>
      <c r="C4" s="3" t="s">
        <v>45</v>
      </c>
      <c r="D4" s="16">
        <v>39430</v>
      </c>
      <c r="E4" s="16">
        <v>24864</v>
      </c>
      <c r="F4" s="16">
        <v>24862</v>
      </c>
      <c r="G4">
        <f t="shared" ref="G4:G34" si="0">D4-E4</f>
        <v>14566</v>
      </c>
      <c r="H4">
        <f t="shared" ref="H4:H34" si="1">D4-F4</f>
        <v>14568</v>
      </c>
    </row>
    <row r="5" spans="1:8" ht="17">
      <c r="A5" s="16" t="s">
        <v>101</v>
      </c>
      <c r="B5" s="16" t="s">
        <v>105</v>
      </c>
      <c r="C5" s="3" t="s">
        <v>45</v>
      </c>
      <c r="D5" s="16">
        <v>26154</v>
      </c>
      <c r="E5" s="16">
        <v>16315</v>
      </c>
      <c r="F5" s="16">
        <v>16314</v>
      </c>
      <c r="G5">
        <f t="shared" si="0"/>
        <v>9839</v>
      </c>
      <c r="H5">
        <f t="shared" si="1"/>
        <v>9840</v>
      </c>
    </row>
    <row r="6" spans="1:8" ht="17">
      <c r="A6" s="16" t="s">
        <v>101</v>
      </c>
      <c r="B6" s="16" t="s">
        <v>102</v>
      </c>
      <c r="C6" s="3" t="s">
        <v>48</v>
      </c>
      <c r="D6" s="16">
        <v>27039</v>
      </c>
      <c r="E6" s="16">
        <v>17836</v>
      </c>
      <c r="F6" s="16">
        <v>17834</v>
      </c>
      <c r="G6">
        <f t="shared" si="0"/>
        <v>9203</v>
      </c>
      <c r="H6">
        <f t="shared" si="1"/>
        <v>9205</v>
      </c>
    </row>
    <row r="7" spans="1:8" ht="17">
      <c r="A7" s="16" t="s">
        <v>101</v>
      </c>
      <c r="B7" s="16" t="s">
        <v>146</v>
      </c>
      <c r="C7" s="3" t="s">
        <v>45</v>
      </c>
      <c r="D7" s="16">
        <v>517</v>
      </c>
      <c r="E7" s="16" t="s">
        <v>144</v>
      </c>
      <c r="F7" s="16" t="s">
        <v>144</v>
      </c>
      <c r="G7">
        <v>517</v>
      </c>
      <c r="H7">
        <v>517</v>
      </c>
    </row>
    <row r="8" spans="1:8" ht="17">
      <c r="A8" s="16" t="s">
        <v>101</v>
      </c>
      <c r="B8" s="16" t="s">
        <v>147</v>
      </c>
      <c r="C8" s="3" t="s">
        <v>45</v>
      </c>
      <c r="D8" s="16">
        <v>86372</v>
      </c>
      <c r="E8" s="16">
        <v>58531</v>
      </c>
      <c r="F8" s="16">
        <v>58530</v>
      </c>
      <c r="G8">
        <f t="shared" si="0"/>
        <v>27841</v>
      </c>
      <c r="H8">
        <f t="shared" si="1"/>
        <v>27842</v>
      </c>
    </row>
    <row r="9" spans="1:8" ht="17">
      <c r="A9" s="16" t="s">
        <v>101</v>
      </c>
      <c r="B9" s="16" t="s">
        <v>148</v>
      </c>
      <c r="C9" s="3" t="s">
        <v>45</v>
      </c>
      <c r="D9" s="16">
        <v>37643</v>
      </c>
      <c r="E9" s="16">
        <v>25225</v>
      </c>
      <c r="F9" s="16">
        <v>25225</v>
      </c>
      <c r="G9">
        <f t="shared" si="0"/>
        <v>12418</v>
      </c>
      <c r="H9">
        <f t="shared" si="1"/>
        <v>12418</v>
      </c>
    </row>
    <row r="10" spans="1:8" ht="17">
      <c r="A10" s="16" t="s">
        <v>101</v>
      </c>
      <c r="B10" s="16" t="s">
        <v>149</v>
      </c>
      <c r="C10" s="3" t="s">
        <v>45</v>
      </c>
      <c r="D10" s="16">
        <v>3897</v>
      </c>
      <c r="E10" s="16">
        <v>514</v>
      </c>
      <c r="F10" s="16">
        <v>512</v>
      </c>
      <c r="G10">
        <f t="shared" si="0"/>
        <v>3383</v>
      </c>
      <c r="H10">
        <f t="shared" si="1"/>
        <v>3385</v>
      </c>
    </row>
    <row r="11" spans="1:8" ht="17">
      <c r="A11" s="16" t="s">
        <v>101</v>
      </c>
      <c r="B11" s="16" t="s">
        <v>150</v>
      </c>
      <c r="C11" s="3" t="s">
        <v>45</v>
      </c>
      <c r="D11" s="16">
        <v>2622</v>
      </c>
      <c r="E11" s="16">
        <v>338</v>
      </c>
      <c r="F11" s="16">
        <v>338</v>
      </c>
      <c r="G11">
        <f t="shared" si="0"/>
        <v>2284</v>
      </c>
      <c r="H11">
        <f t="shared" si="1"/>
        <v>2284</v>
      </c>
    </row>
    <row r="12" spans="1:8" ht="17">
      <c r="A12" s="16" t="s">
        <v>101</v>
      </c>
      <c r="B12" s="16" t="s">
        <v>109</v>
      </c>
      <c r="C12" s="3" t="s">
        <v>48</v>
      </c>
      <c r="D12" s="16">
        <v>27218</v>
      </c>
      <c r="E12" s="16">
        <v>17931</v>
      </c>
      <c r="F12" s="16">
        <v>17931</v>
      </c>
      <c r="G12">
        <f t="shared" si="0"/>
        <v>9287</v>
      </c>
      <c r="H12">
        <f t="shared" si="1"/>
        <v>9287</v>
      </c>
    </row>
    <row r="13" spans="1:8" ht="17">
      <c r="A13" s="16" t="s">
        <v>101</v>
      </c>
      <c r="B13" s="16" t="s">
        <v>151</v>
      </c>
      <c r="C13" s="3" t="s">
        <v>22</v>
      </c>
      <c r="D13" s="16">
        <v>13590</v>
      </c>
      <c r="E13" s="16">
        <v>5962</v>
      </c>
      <c r="F13" s="16">
        <v>5960</v>
      </c>
      <c r="G13">
        <f t="shared" si="0"/>
        <v>7628</v>
      </c>
      <c r="H13">
        <f t="shared" si="1"/>
        <v>7630</v>
      </c>
    </row>
    <row r="14" spans="1:8" ht="17">
      <c r="A14" s="16" t="s">
        <v>112</v>
      </c>
      <c r="B14" s="16" t="s">
        <v>151</v>
      </c>
      <c r="C14" s="3" t="s">
        <v>22</v>
      </c>
      <c r="D14" s="16">
        <v>3987</v>
      </c>
      <c r="E14" s="16">
        <v>857</v>
      </c>
      <c r="F14" s="16">
        <v>849</v>
      </c>
      <c r="G14">
        <f t="shared" si="0"/>
        <v>3130</v>
      </c>
      <c r="H14">
        <f t="shared" si="1"/>
        <v>3138</v>
      </c>
    </row>
    <row r="15" spans="1:8" ht="17">
      <c r="A15" s="16" t="s">
        <v>113</v>
      </c>
      <c r="B15" s="16" t="s">
        <v>103</v>
      </c>
      <c r="C15" s="3" t="s">
        <v>48</v>
      </c>
      <c r="D15" s="16">
        <v>3014</v>
      </c>
      <c r="E15" s="16">
        <v>1351</v>
      </c>
      <c r="F15" s="16">
        <v>1351</v>
      </c>
      <c r="G15">
        <f t="shared" si="0"/>
        <v>1663</v>
      </c>
      <c r="H15">
        <f t="shared" si="1"/>
        <v>1663</v>
      </c>
    </row>
    <row r="16" spans="1:8" ht="17">
      <c r="A16" s="16" t="s">
        <v>113</v>
      </c>
      <c r="B16" s="16" t="s">
        <v>145</v>
      </c>
      <c r="C16" s="3" t="s">
        <v>45</v>
      </c>
      <c r="D16" s="16">
        <v>3225</v>
      </c>
      <c r="E16" s="16">
        <v>1325</v>
      </c>
      <c r="F16" s="16">
        <v>1325</v>
      </c>
      <c r="G16">
        <f t="shared" si="0"/>
        <v>1900</v>
      </c>
      <c r="H16">
        <f t="shared" si="1"/>
        <v>1900</v>
      </c>
    </row>
    <row r="17" spans="1:8" ht="17">
      <c r="A17" s="16" t="s">
        <v>113</v>
      </c>
      <c r="B17" s="16" t="s">
        <v>105</v>
      </c>
      <c r="C17" s="3" t="s">
        <v>45</v>
      </c>
      <c r="D17" s="16">
        <v>2317</v>
      </c>
      <c r="E17" s="16">
        <v>967</v>
      </c>
      <c r="F17" s="16">
        <v>967</v>
      </c>
      <c r="G17">
        <f t="shared" si="0"/>
        <v>1350</v>
      </c>
      <c r="H17">
        <f t="shared" si="1"/>
        <v>1350</v>
      </c>
    </row>
    <row r="18" spans="1:8" ht="17">
      <c r="A18" s="16" t="s">
        <v>113</v>
      </c>
      <c r="B18" s="16" t="s">
        <v>102</v>
      </c>
      <c r="C18" s="3" t="s">
        <v>48</v>
      </c>
      <c r="D18" s="16">
        <v>3063</v>
      </c>
      <c r="E18" s="16">
        <v>1330</v>
      </c>
      <c r="F18" s="16">
        <v>1330</v>
      </c>
      <c r="G18">
        <f t="shared" si="0"/>
        <v>1733</v>
      </c>
      <c r="H18">
        <f t="shared" si="1"/>
        <v>1733</v>
      </c>
    </row>
    <row r="19" spans="1:8" ht="17">
      <c r="A19" s="16" t="s">
        <v>113</v>
      </c>
      <c r="B19" s="16" t="s">
        <v>147</v>
      </c>
      <c r="C19" s="3" t="s">
        <v>45</v>
      </c>
      <c r="D19" s="16">
        <v>8547</v>
      </c>
      <c r="E19" s="16">
        <v>4118</v>
      </c>
      <c r="F19" s="16">
        <v>4118</v>
      </c>
      <c r="G19">
        <f t="shared" si="0"/>
        <v>4429</v>
      </c>
      <c r="H19">
        <f t="shared" si="1"/>
        <v>4429</v>
      </c>
    </row>
    <row r="20" spans="1:8" ht="17">
      <c r="A20" s="16" t="s">
        <v>113</v>
      </c>
      <c r="B20" s="16" t="s">
        <v>148</v>
      </c>
      <c r="C20" s="3" t="s">
        <v>45</v>
      </c>
      <c r="D20" s="16">
        <v>3960</v>
      </c>
      <c r="E20" s="16">
        <v>1960</v>
      </c>
      <c r="F20" s="16">
        <v>1960</v>
      </c>
      <c r="G20">
        <f t="shared" si="0"/>
        <v>2000</v>
      </c>
      <c r="H20">
        <f t="shared" si="1"/>
        <v>2000</v>
      </c>
    </row>
    <row r="21" spans="1:8" ht="17">
      <c r="A21" s="16" t="s">
        <v>113</v>
      </c>
      <c r="B21" s="16" t="s">
        <v>149</v>
      </c>
      <c r="C21" s="3" t="s">
        <v>45</v>
      </c>
      <c r="D21" s="16">
        <v>951</v>
      </c>
      <c r="E21" s="16">
        <v>28</v>
      </c>
      <c r="F21" s="16">
        <v>28</v>
      </c>
      <c r="G21">
        <f t="shared" si="0"/>
        <v>923</v>
      </c>
      <c r="H21">
        <f t="shared" si="1"/>
        <v>923</v>
      </c>
    </row>
    <row r="22" spans="1:8" ht="17">
      <c r="A22" s="16" t="s">
        <v>113</v>
      </c>
      <c r="B22" s="16" t="s">
        <v>150</v>
      </c>
      <c r="C22" s="3" t="s">
        <v>45</v>
      </c>
      <c r="D22" s="16">
        <v>602</v>
      </c>
      <c r="E22" s="16">
        <v>18</v>
      </c>
      <c r="F22" s="16">
        <v>18</v>
      </c>
      <c r="G22">
        <f t="shared" si="0"/>
        <v>584</v>
      </c>
      <c r="H22">
        <f t="shared" si="1"/>
        <v>584</v>
      </c>
    </row>
    <row r="23" spans="1:8" ht="17">
      <c r="A23" s="16" t="s">
        <v>113</v>
      </c>
      <c r="B23" s="16" t="s">
        <v>109</v>
      </c>
      <c r="C23" s="3" t="s">
        <v>48</v>
      </c>
      <c r="D23" s="16">
        <v>3570</v>
      </c>
      <c r="E23" s="16">
        <v>1551</v>
      </c>
      <c r="F23" s="16">
        <v>1551</v>
      </c>
      <c r="G23">
        <f t="shared" si="0"/>
        <v>2019</v>
      </c>
      <c r="H23">
        <f t="shared" si="1"/>
        <v>2019</v>
      </c>
    </row>
    <row r="24" spans="1:8" ht="17">
      <c r="A24" s="16" t="s">
        <v>113</v>
      </c>
      <c r="B24" s="16" t="s">
        <v>151</v>
      </c>
      <c r="C24" s="3" t="s">
        <v>22</v>
      </c>
      <c r="D24" s="16">
        <v>1797</v>
      </c>
      <c r="E24" s="16">
        <v>374</v>
      </c>
      <c r="F24" s="16">
        <v>374</v>
      </c>
      <c r="G24">
        <f t="shared" si="0"/>
        <v>1423</v>
      </c>
      <c r="H24">
        <f t="shared" si="1"/>
        <v>1423</v>
      </c>
    </row>
    <row r="25" spans="1:8" ht="17">
      <c r="A25" s="16" t="s">
        <v>114</v>
      </c>
      <c r="B25" s="16" t="s">
        <v>115</v>
      </c>
      <c r="C25" s="3" t="s">
        <v>79</v>
      </c>
      <c r="D25" s="16">
        <v>4724</v>
      </c>
      <c r="E25" s="16">
        <v>1606</v>
      </c>
      <c r="F25" s="16">
        <v>1604</v>
      </c>
      <c r="G25">
        <f t="shared" si="0"/>
        <v>3118</v>
      </c>
      <c r="H25">
        <f t="shared" si="1"/>
        <v>3120</v>
      </c>
    </row>
    <row r="26" spans="1:8" ht="17">
      <c r="A26" s="16" t="s">
        <v>119</v>
      </c>
      <c r="B26" s="16" t="s">
        <v>120</v>
      </c>
      <c r="C26" s="16" t="s">
        <v>152</v>
      </c>
      <c r="D26" s="16">
        <v>1190</v>
      </c>
      <c r="E26" s="16">
        <v>951</v>
      </c>
      <c r="F26" s="16">
        <v>951</v>
      </c>
      <c r="G26">
        <f t="shared" si="0"/>
        <v>239</v>
      </c>
      <c r="H26">
        <f t="shared" si="1"/>
        <v>239</v>
      </c>
    </row>
    <row r="27" spans="1:8" ht="34">
      <c r="A27" s="16" t="s">
        <v>119</v>
      </c>
      <c r="B27" s="16" t="s">
        <v>122</v>
      </c>
      <c r="C27" s="3" t="s">
        <v>48</v>
      </c>
      <c r="D27" s="16">
        <v>7904</v>
      </c>
      <c r="E27" s="16">
        <v>3708</v>
      </c>
      <c r="F27" s="16">
        <v>3708</v>
      </c>
      <c r="G27">
        <f t="shared" si="0"/>
        <v>4196</v>
      </c>
      <c r="H27">
        <f t="shared" si="1"/>
        <v>4196</v>
      </c>
    </row>
    <row r="28" spans="1:8" ht="17">
      <c r="A28" s="16" t="s">
        <v>119</v>
      </c>
      <c r="B28" s="16" t="s">
        <v>123</v>
      </c>
      <c r="C28" s="3" t="s">
        <v>48</v>
      </c>
      <c r="D28" s="16">
        <v>7953</v>
      </c>
      <c r="E28" s="16">
        <v>3709</v>
      </c>
      <c r="F28" s="16">
        <v>3709</v>
      </c>
      <c r="G28">
        <f t="shared" si="0"/>
        <v>4244</v>
      </c>
      <c r="H28">
        <f t="shared" si="1"/>
        <v>4244</v>
      </c>
    </row>
    <row r="29" spans="1:8" ht="17">
      <c r="A29" s="16" t="s">
        <v>153</v>
      </c>
      <c r="B29" s="16" t="s">
        <v>130</v>
      </c>
      <c r="C29" s="3" t="s">
        <v>30</v>
      </c>
      <c r="D29" s="16">
        <v>1453</v>
      </c>
      <c r="E29" s="16">
        <v>337</v>
      </c>
      <c r="F29" s="16">
        <v>337</v>
      </c>
      <c r="G29">
        <f t="shared" si="0"/>
        <v>1116</v>
      </c>
      <c r="H29">
        <f t="shared" si="1"/>
        <v>1116</v>
      </c>
    </row>
    <row r="30" spans="1:8" ht="17">
      <c r="A30" s="16" t="s">
        <v>132</v>
      </c>
      <c r="B30" s="16" t="s">
        <v>117</v>
      </c>
      <c r="C30" s="3" t="s">
        <v>33</v>
      </c>
      <c r="D30" s="16">
        <v>6365</v>
      </c>
      <c r="E30" s="16">
        <v>1680</v>
      </c>
      <c r="F30" s="16">
        <v>1680</v>
      </c>
      <c r="G30">
        <f t="shared" si="0"/>
        <v>4685</v>
      </c>
      <c r="H30">
        <f t="shared" si="1"/>
        <v>4685</v>
      </c>
    </row>
    <row r="31" spans="1:8" ht="17">
      <c r="A31" s="16" t="s">
        <v>132</v>
      </c>
      <c r="B31" s="16" t="s">
        <v>118</v>
      </c>
      <c r="C31" s="3" t="s">
        <v>32</v>
      </c>
      <c r="D31" s="16">
        <v>3328</v>
      </c>
      <c r="E31" s="16">
        <v>667</v>
      </c>
      <c r="F31" s="16">
        <v>667</v>
      </c>
      <c r="G31">
        <f t="shared" si="0"/>
        <v>2661</v>
      </c>
      <c r="H31">
        <f t="shared" si="1"/>
        <v>2661</v>
      </c>
    </row>
    <row r="32" spans="1:8" ht="17">
      <c r="A32" s="16" t="s">
        <v>133</v>
      </c>
      <c r="B32" s="16" t="s">
        <v>134</v>
      </c>
      <c r="C32" s="3" t="s">
        <v>37</v>
      </c>
      <c r="D32" s="16">
        <v>2857</v>
      </c>
      <c r="E32" s="16">
        <v>869</v>
      </c>
      <c r="F32" s="16">
        <v>869</v>
      </c>
      <c r="G32">
        <f t="shared" si="0"/>
        <v>1988</v>
      </c>
      <c r="H32">
        <f t="shared" si="1"/>
        <v>1988</v>
      </c>
    </row>
    <row r="33" spans="1:8" ht="17">
      <c r="A33" s="16" t="s">
        <v>154</v>
      </c>
      <c r="B33" s="16" t="s">
        <v>136</v>
      </c>
      <c r="C33" s="3" t="s">
        <v>48</v>
      </c>
      <c r="D33" s="16">
        <v>122379</v>
      </c>
      <c r="E33" s="16">
        <v>77801</v>
      </c>
      <c r="F33" s="16">
        <v>77758</v>
      </c>
      <c r="G33">
        <f t="shared" si="0"/>
        <v>44578</v>
      </c>
      <c r="H33">
        <f t="shared" si="1"/>
        <v>44621</v>
      </c>
    </row>
    <row r="34" spans="1:8" ht="17">
      <c r="A34" s="16" t="s">
        <v>154</v>
      </c>
      <c r="B34" s="16" t="s">
        <v>137</v>
      </c>
      <c r="C34" s="3" t="s">
        <v>39</v>
      </c>
      <c r="D34" s="16">
        <v>60328</v>
      </c>
      <c r="E34" s="16">
        <v>29847</v>
      </c>
      <c r="F34" s="16">
        <v>29833</v>
      </c>
      <c r="G34">
        <f t="shared" si="0"/>
        <v>30481</v>
      </c>
      <c r="H34">
        <f t="shared" si="1"/>
        <v>30495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77D5-2817-49CF-8DCC-FF548793A576}">
  <dimension ref="A1:F11"/>
  <sheetViews>
    <sheetView workbookViewId="0"/>
  </sheetViews>
  <sheetFormatPr baseColWidth="10" defaultColWidth="8.83203125" defaultRowHeight="13"/>
  <cols>
    <col min="1" max="1" width="25.5" bestFit="1" customWidth="1"/>
    <col min="2" max="2" width="23" bestFit="1" customWidth="1"/>
    <col min="3" max="3" width="19.1640625" bestFit="1" customWidth="1"/>
    <col min="4" max="4" width="19.5" bestFit="1" customWidth="1"/>
    <col min="5" max="5" width="17" bestFit="1" customWidth="1"/>
    <col min="6" max="6" width="17.5" bestFit="1" customWidth="1"/>
  </cols>
  <sheetData>
    <row r="1" spans="1:6">
      <c r="A1" t="s">
        <v>2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</row>
    <row r="2" spans="1:6">
      <c r="A2" t="s">
        <v>48</v>
      </c>
      <c r="B2">
        <v>229229</v>
      </c>
      <c r="C2">
        <v>143161</v>
      </c>
      <c r="D2">
        <v>143113</v>
      </c>
      <c r="E2">
        <v>86068</v>
      </c>
      <c r="F2">
        <v>86116</v>
      </c>
    </row>
    <row r="3" spans="1:6">
      <c r="A3" t="s">
        <v>45</v>
      </c>
      <c r="B3">
        <v>216438</v>
      </c>
      <c r="C3">
        <v>134203</v>
      </c>
      <c r="D3">
        <v>134197</v>
      </c>
      <c r="E3">
        <v>82235</v>
      </c>
      <c r="F3">
        <v>82241</v>
      </c>
    </row>
    <row r="4" spans="1:6">
      <c r="A4" t="s">
        <v>22</v>
      </c>
      <c r="B4">
        <v>19374</v>
      </c>
      <c r="C4">
        <v>7193</v>
      </c>
      <c r="D4">
        <v>7183</v>
      </c>
      <c r="E4">
        <v>12181</v>
      </c>
      <c r="F4">
        <v>12191</v>
      </c>
    </row>
    <row r="5" spans="1:6">
      <c r="A5" t="s">
        <v>79</v>
      </c>
      <c r="B5">
        <v>4724</v>
      </c>
      <c r="C5">
        <v>1606</v>
      </c>
      <c r="D5">
        <v>1604</v>
      </c>
      <c r="E5">
        <v>3118</v>
      </c>
      <c r="F5">
        <v>3120</v>
      </c>
    </row>
    <row r="6" spans="1:6">
      <c r="A6" t="s">
        <v>152</v>
      </c>
      <c r="B6">
        <v>1190</v>
      </c>
      <c r="C6">
        <v>951</v>
      </c>
      <c r="D6">
        <v>951</v>
      </c>
      <c r="E6">
        <v>239</v>
      </c>
      <c r="F6">
        <v>239</v>
      </c>
    </row>
    <row r="7" spans="1:6">
      <c r="A7" t="s">
        <v>30</v>
      </c>
      <c r="B7">
        <v>1453</v>
      </c>
      <c r="C7">
        <v>337</v>
      </c>
      <c r="D7">
        <v>337</v>
      </c>
      <c r="E7">
        <v>1116</v>
      </c>
      <c r="F7">
        <v>1116</v>
      </c>
    </row>
    <row r="8" spans="1:6">
      <c r="A8" t="s">
        <v>33</v>
      </c>
      <c r="B8">
        <v>6365</v>
      </c>
      <c r="C8">
        <v>1680</v>
      </c>
      <c r="D8">
        <v>1680</v>
      </c>
      <c r="E8">
        <v>4685</v>
      </c>
      <c r="F8">
        <v>4685</v>
      </c>
    </row>
    <row r="9" spans="1:6">
      <c r="A9" t="s">
        <v>32</v>
      </c>
      <c r="B9">
        <v>3328</v>
      </c>
      <c r="C9">
        <v>667</v>
      </c>
      <c r="D9">
        <v>667</v>
      </c>
      <c r="E9">
        <v>2661</v>
      </c>
      <c r="F9">
        <v>2661</v>
      </c>
    </row>
    <row r="10" spans="1:6">
      <c r="A10" t="s">
        <v>37</v>
      </c>
      <c r="B10">
        <v>2857</v>
      </c>
      <c r="C10">
        <v>869</v>
      </c>
      <c r="D10">
        <v>869</v>
      </c>
      <c r="E10">
        <v>1988</v>
      </c>
      <c r="F10">
        <v>1988</v>
      </c>
    </row>
    <row r="11" spans="1:6">
      <c r="A11" t="s">
        <v>39</v>
      </c>
      <c r="B11">
        <v>60328</v>
      </c>
      <c r="C11">
        <v>29847</v>
      </c>
      <c r="D11">
        <v>29833</v>
      </c>
      <c r="E11">
        <v>30481</v>
      </c>
      <c r="F11">
        <v>30495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7640FEAACA944E9F49A9EC3E91143D" ma:contentTypeVersion="7" ma:contentTypeDescription="Create a new document." ma:contentTypeScope="" ma:versionID="1218410fc0fa077fead1b1e9d0b3fb3c">
  <xsd:schema xmlns:xsd="http://www.w3.org/2001/XMLSchema" xmlns:xs="http://www.w3.org/2001/XMLSchema" xmlns:p="http://schemas.microsoft.com/office/2006/metadata/properties" xmlns:ns2="f0b1a4ef-869e-4fa8-a4a9-08ab0e4fb563" targetNamespace="http://schemas.microsoft.com/office/2006/metadata/properties" ma:root="true" ma:fieldsID="c75d7b4b85ea32f677dcae992f242353" ns2:_="">
    <xsd:import namespace="f0b1a4ef-869e-4fa8-a4a9-08ab0e4fb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1a4ef-869e-4fa8-a4a9-08ab0e4fb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62DB38-2816-4165-A089-383680BAA18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987BF9-4E08-4D9D-BE86-2E978020A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C95EF8-9865-4C6C-8EE2-D29DB69416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b1a4ef-869e-4fa8-a4a9-08ab0e4fb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1. ECHO Kits and Labware</vt:lpstr>
      <vt:lpstr>Table 1. MEGHAN COPY VERSION</vt:lpstr>
      <vt:lpstr>Table 2. ECHO Freezer Capacity</vt:lpstr>
      <vt:lpstr>Sheet3</vt:lpstr>
      <vt:lpstr>Table 3. Capacity by Labware</vt:lpstr>
      <vt:lpstr>Table C1 from elvislims</vt:lpstr>
      <vt:lpstr>Table C1 from DAC</vt:lpstr>
      <vt:lpstr>Table C1 simplified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Murray, Benjamin</dc:creator>
  <cp:keywords/>
  <dc:description/>
  <cp:lastModifiedBy>KOPLIN, Eric</cp:lastModifiedBy>
  <cp:revision/>
  <dcterms:created xsi:type="dcterms:W3CDTF">2025-10-21T16:44:21Z</dcterms:created>
  <dcterms:modified xsi:type="dcterms:W3CDTF">2025-11-04T17:40:36Z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2025-10-21T20:14:38Z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bd6219dc-9495-44c0-85bc-0131457a135c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50, 3, 0, 1</vt:lpwstr>
  </property>
  <property fmtid="{D5CDD505-2E9C-101B-9397-08002B2CF9AE}" pid="10" name="ContentTypeId">
    <vt:lpwstr>0x010100197640FEAACA944E9F49A9EC3E91143D</vt:lpwstr>
  </property>
</Properties>
</file>