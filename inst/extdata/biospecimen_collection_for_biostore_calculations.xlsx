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hanshilts/r_code/biostoreCapacity/inst/extdata/"/>
    </mc:Choice>
  </mc:AlternateContent>
  <xr:revisionPtr revIDLastSave="0" documentId="13_ncr:1_{981AA16A-4A5B-FA48-8569-CA1539CF3009}" xr6:coauthVersionLast="47" xr6:coauthVersionMax="47" xr10:uidLastSave="{00000000-0000-0000-0000-000000000000}"/>
  <bookViews>
    <workbookView xWindow="1460" yWindow="3160" windowWidth="29180" windowHeight="17380" xr2:uid="{F08E2CC1-CD3C-F641-B418-A953A5DB1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1" i="1"/>
  <c r="A2" i="1"/>
  <c r="A3" i="1"/>
  <c r="A20" i="1"/>
  <c r="A21" i="1"/>
  <c r="A22" i="1"/>
  <c r="A23" i="1"/>
  <c r="A26" i="1"/>
  <c r="A9" i="1"/>
  <c r="A18" i="1"/>
  <c r="A19" i="1"/>
  <c r="A4" i="1"/>
  <c r="A13" i="1"/>
  <c r="A14" i="1"/>
  <c r="A15" i="1"/>
  <c r="A10" i="1"/>
  <c r="A24" i="1"/>
  <c r="A27" i="1"/>
  <c r="A7" i="1"/>
  <c r="A16" i="1"/>
  <c r="A5" i="1"/>
  <c r="A11" i="1"/>
  <c r="A25" i="1"/>
  <c r="A28" i="1"/>
  <c r="A8" i="1"/>
  <c r="A17" i="1"/>
  <c r="A6" i="1"/>
  <c r="A12" i="1"/>
</calcChain>
</file>

<file path=xl/sharedStrings.xml><?xml version="1.0" encoding="utf-8"?>
<sst xmlns="http://schemas.openxmlformats.org/spreadsheetml/2006/main" count="376" uniqueCount="75">
  <si>
    <t>whole_blood_maternal</t>
  </si>
  <si>
    <t>cord_blood</t>
  </si>
  <si>
    <t>whole_blood_child</t>
  </si>
  <si>
    <t>breastmilk</t>
  </si>
  <si>
    <t>urine_diaper</t>
  </si>
  <si>
    <t>urine_cup_maternal</t>
  </si>
  <si>
    <t>urine_cup_current_partner</t>
  </si>
  <si>
    <t>urine_hat</t>
  </si>
  <si>
    <t>urine_cup_child</t>
  </si>
  <si>
    <t>placenta</t>
  </si>
  <si>
    <t>kit_type</t>
  </si>
  <si>
    <t>tube_size</t>
  </si>
  <si>
    <t>1ml</t>
  </si>
  <si>
    <t>1.9ml</t>
  </si>
  <si>
    <t>tubes_per_kit</t>
  </si>
  <si>
    <t>participant</t>
  </si>
  <si>
    <t>maternal</t>
  </si>
  <si>
    <t>child</t>
  </si>
  <si>
    <t>partner</t>
  </si>
  <si>
    <t>visit</t>
  </si>
  <si>
    <t>0_5_months</t>
  </si>
  <si>
    <t>12_23_months</t>
  </si>
  <si>
    <t>core</t>
  </si>
  <si>
    <t>specialized</t>
  </si>
  <si>
    <t>preg_early</t>
  </si>
  <si>
    <t>preg_third_tri</t>
  </si>
  <si>
    <t>perinatal</t>
  </si>
  <si>
    <t>specimen_type</t>
  </si>
  <si>
    <t>6_11_months</t>
  </si>
  <si>
    <t>preconception</t>
  </si>
  <si>
    <t>biospecimen_type</t>
  </si>
  <si>
    <t>urine</t>
  </si>
  <si>
    <t>whole_blood</t>
  </si>
  <si>
    <t>24_35_months</t>
  </si>
  <si>
    <t>3_5_years</t>
  </si>
  <si>
    <t>6_10_years</t>
  </si>
  <si>
    <t>11_17_years</t>
  </si>
  <si>
    <t>specialized_obesity</t>
  </si>
  <si>
    <t>NA</t>
  </si>
  <si>
    <t>specialized_chemphys</t>
  </si>
  <si>
    <t>specialized_lifestyle</t>
  </si>
  <si>
    <t>visit_logical_order</t>
  </si>
  <si>
    <t>proportion_from_kit_collected</t>
  </si>
  <si>
    <t>collection_id</t>
  </si>
  <si>
    <t>notes</t>
  </si>
  <si>
    <t>this was removed for 2025, but Victoria not sure about beyond that</t>
  </si>
  <si>
    <t>set to 1 because this wasn't officially changed. We couldn't remove this collection until we added 11-17 blood spot (which needed IRB approval) so i think it was decided this would change in 2026 to add 11-17 blood spot and remove 11-17 whole blood in 2026</t>
  </si>
  <si>
    <t>specialized_obesity_proportion</t>
  </si>
  <si>
    <t>specialized_chemphys_proportion</t>
  </si>
  <si>
    <t>specialized_lifestyle_proportion</t>
  </si>
  <si>
    <t>coll_y_2025</t>
  </si>
  <si>
    <t>coll_y_2026</t>
  </si>
  <si>
    <t>coll_y_2027</t>
  </si>
  <si>
    <t>coll_y_2028</t>
  </si>
  <si>
    <t>coll_y_2029</t>
  </si>
  <si>
    <t>coll_y_2030</t>
  </si>
  <si>
    <t>coll_y_2025_proportion</t>
  </si>
  <si>
    <t>coll_y_2026_proportion</t>
  </si>
  <si>
    <t>coll_y_2027_proportion</t>
  </si>
  <si>
    <t>coll_y_2028_proportion</t>
  </si>
  <si>
    <t>coll_y_2029_proportion</t>
  </si>
  <si>
    <t>coll_y_2030_proportion</t>
  </si>
  <si>
    <t>specimen_clean</t>
  </si>
  <si>
    <t>maternal_breastmilk_specialized</t>
  </si>
  <si>
    <t>child_urine_diaper_specialized</t>
  </si>
  <si>
    <t>child_urine_diaper_core</t>
  </si>
  <si>
    <t>child_urine_hat_core</t>
  </si>
  <si>
    <t>child_cord_blood_core</t>
  </si>
  <si>
    <t>maternal_placenta_core</t>
  </si>
  <si>
    <t>child_whole_blood_specialized</t>
  </si>
  <si>
    <t>child_urine_cup_core</t>
  </si>
  <si>
    <t>child_whole_blood_core</t>
  </si>
  <si>
    <t>maternal_urine_cup_core</t>
  </si>
  <si>
    <t>maternal_whole_blood_core</t>
  </si>
  <si>
    <t>partner_urine_cup_core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</si>
</sst>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3" fillId="0" borderId="0" xfId="0" applyFont="1"/>
  </cellXfs>
  <cellStyles count="1">
    <cellStyle name="Normal" xfId="0" builtinId="0"/>
  </cellStyles>
  <dxfs count="24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0A69-7549-AB48-B708-1E2A20EA2643}">
  <dimension ref="A1:AE28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baseColWidth="10" defaultRowHeight="16" x14ac:dyDescent="0.2"/>
  <cols>
    <col min="1" max="1" width="40.5" bestFit="1" customWidth="1"/>
    <col min="2" max="2" width="40.5" customWidth="1"/>
    <col min="3" max="3" width="23.1640625" bestFit="1" customWidth="1"/>
    <col min="4" max="4" width="43.33203125" bestFit="1" customWidth="1"/>
    <col min="5" max="5" width="16.33203125" bestFit="1" customWidth="1"/>
    <col min="6" max="6" width="10.1640625" bestFit="1" customWidth="1"/>
    <col min="7" max="7" width="9" bestFit="1" customWidth="1"/>
    <col min="8" max="8" width="12.33203125" bestFit="1" customWidth="1"/>
    <col min="9" max="9" width="26.33203125" customWidth="1"/>
    <col min="10" max="10" width="12.83203125" bestFit="1" customWidth="1"/>
    <col min="11" max="11" width="16.33203125" bestFit="1" customWidth="1"/>
    <col min="12" max="12" width="13.6640625" bestFit="1" customWidth="1"/>
    <col min="13" max="18" width="6.83203125" bestFit="1" customWidth="1"/>
    <col min="19" max="24" width="15.6640625" customWidth="1"/>
    <col min="25" max="25" width="17.5" bestFit="1" customWidth="1"/>
    <col min="26" max="26" width="26.6640625" customWidth="1"/>
    <col min="27" max="27" width="20" bestFit="1" customWidth="1"/>
    <col min="28" max="28" width="29.1640625" customWidth="1"/>
    <col min="29" max="29" width="18.1640625" bestFit="1" customWidth="1"/>
    <col min="30" max="30" width="27.33203125" customWidth="1"/>
  </cols>
  <sheetData>
    <row r="1" spans="1:31" s="3" customFormat="1" x14ac:dyDescent="0.2">
      <c r="A1" s="3" t="s">
        <v>43</v>
      </c>
      <c r="B1" s="3" t="str">
        <f>_xlfn.CONCAT(J1,"_",F1)</f>
        <v>visit_participant</v>
      </c>
      <c r="C1" s="2" t="s">
        <v>10</v>
      </c>
      <c r="D1" s="2" t="s">
        <v>62</v>
      </c>
      <c r="E1" s="2" t="s">
        <v>30</v>
      </c>
      <c r="F1" s="2" t="s">
        <v>15</v>
      </c>
      <c r="G1" s="2" t="s">
        <v>11</v>
      </c>
      <c r="H1" s="2" t="s">
        <v>14</v>
      </c>
      <c r="I1" s="2" t="s">
        <v>42</v>
      </c>
      <c r="J1" s="2" t="s">
        <v>19</v>
      </c>
      <c r="K1" s="2" t="s">
        <v>41</v>
      </c>
      <c r="L1" s="2" t="s">
        <v>27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57</v>
      </c>
      <c r="U1" s="2" t="s">
        <v>58</v>
      </c>
      <c r="V1" s="2" t="s">
        <v>59</v>
      </c>
      <c r="W1" s="2" t="s">
        <v>60</v>
      </c>
      <c r="X1" s="2" t="s">
        <v>61</v>
      </c>
      <c r="Y1" s="2" t="s">
        <v>37</v>
      </c>
      <c r="Z1" s="2" t="s">
        <v>47</v>
      </c>
      <c r="AA1" s="2" t="s">
        <v>39</v>
      </c>
      <c r="AB1" s="2" t="s">
        <v>48</v>
      </c>
      <c r="AC1" s="2" t="s">
        <v>40</v>
      </c>
      <c r="AD1" s="2" t="s">
        <v>49</v>
      </c>
      <c r="AE1" s="3" t="s">
        <v>44</v>
      </c>
    </row>
    <row r="2" spans="1:31" x14ac:dyDescent="0.2">
      <c r="A2" t="str">
        <f t="shared" ref="A2:A28" si="0">C2&amp;"_"&amp;G2&amp;"_"&amp;J2&amp;"_"&amp;L2</f>
        <v>breastmilk_1.9ml_0_5_months_specialized</v>
      </c>
      <c r="B2" s="6" t="str">
        <f t="shared" ref="B2:B28" si="1">_xlfn.CONCAT(J2,"_",F2)</f>
        <v>0_5_months_maternal</v>
      </c>
      <c r="C2" s="1" t="s">
        <v>3</v>
      </c>
      <c r="D2" s="1" t="s">
        <v>63</v>
      </c>
      <c r="E2" s="1" t="s">
        <v>3</v>
      </c>
      <c r="F2" s="1" t="s">
        <v>16</v>
      </c>
      <c r="G2" s="1" t="s">
        <v>13</v>
      </c>
      <c r="H2" s="1">
        <v>8</v>
      </c>
      <c r="I2" s="1">
        <v>1</v>
      </c>
      <c r="J2" s="1" t="s">
        <v>20</v>
      </c>
      <c r="K2" s="1">
        <v>4</v>
      </c>
      <c r="L2" s="1" t="s">
        <v>23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0.25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0.42</v>
      </c>
      <c r="AA2" s="1">
        <v>1</v>
      </c>
      <c r="AB2" s="1">
        <v>0.69</v>
      </c>
      <c r="AC2" s="1">
        <v>1</v>
      </c>
      <c r="AD2" s="1">
        <v>0.19</v>
      </c>
      <c r="AE2" t="s">
        <v>38</v>
      </c>
    </row>
    <row r="3" spans="1:31" x14ac:dyDescent="0.2">
      <c r="A3" t="str">
        <f t="shared" si="0"/>
        <v>breastmilk_1ml_0_5_months_specialized</v>
      </c>
      <c r="B3" s="6" t="str">
        <f t="shared" si="1"/>
        <v>0_5_months_maternal</v>
      </c>
      <c r="C3" s="1" t="s">
        <v>3</v>
      </c>
      <c r="D3" s="1" t="s">
        <v>63</v>
      </c>
      <c r="E3" s="1" t="s">
        <v>3</v>
      </c>
      <c r="F3" s="1" t="s">
        <v>16</v>
      </c>
      <c r="G3" s="1" t="s">
        <v>12</v>
      </c>
      <c r="H3" s="1">
        <v>10</v>
      </c>
      <c r="I3" s="1">
        <v>0.5</v>
      </c>
      <c r="J3" s="1" t="s">
        <v>20</v>
      </c>
      <c r="K3" s="1">
        <v>4</v>
      </c>
      <c r="L3" s="1" t="s">
        <v>23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0.25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0.42</v>
      </c>
      <c r="AA3" s="1">
        <v>1</v>
      </c>
      <c r="AB3" s="1">
        <v>0.69</v>
      </c>
      <c r="AC3" s="1">
        <v>1</v>
      </c>
      <c r="AD3" s="1">
        <v>0.19</v>
      </c>
      <c r="AE3" t="s">
        <v>38</v>
      </c>
    </row>
    <row r="4" spans="1:31" x14ac:dyDescent="0.2">
      <c r="A4" t="str">
        <f t="shared" si="0"/>
        <v>urine_diaper_1.9ml_12_23_months_specialized</v>
      </c>
      <c r="B4" s="6" t="str">
        <f t="shared" si="1"/>
        <v>12_23_months_child</v>
      </c>
      <c r="C4" s="1" t="s">
        <v>4</v>
      </c>
      <c r="D4" s="1" t="s">
        <v>64</v>
      </c>
      <c r="E4" s="1" t="s">
        <v>31</v>
      </c>
      <c r="F4" s="1" t="s">
        <v>17</v>
      </c>
      <c r="G4" s="1" t="s">
        <v>13</v>
      </c>
      <c r="H4" s="1">
        <v>3</v>
      </c>
      <c r="I4" s="1">
        <v>0.67</v>
      </c>
      <c r="J4" s="1" t="s">
        <v>21</v>
      </c>
      <c r="K4" s="1">
        <v>7</v>
      </c>
      <c r="L4" s="1" t="s">
        <v>23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0.25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0</v>
      </c>
      <c r="Z4" s="1" t="s">
        <v>38</v>
      </c>
      <c r="AA4" s="1">
        <v>1</v>
      </c>
      <c r="AB4" s="1">
        <v>0.69</v>
      </c>
      <c r="AC4" s="1">
        <v>0</v>
      </c>
      <c r="AD4" s="1" t="s">
        <v>38</v>
      </c>
      <c r="AE4" t="s">
        <v>38</v>
      </c>
    </row>
    <row r="5" spans="1:31" x14ac:dyDescent="0.2">
      <c r="A5" t="str">
        <f t="shared" si="0"/>
        <v>whole_blood_child_1.9ml_11_17_years_specialized</v>
      </c>
      <c r="B5" s="6" t="str">
        <f t="shared" si="1"/>
        <v>11_17_years_child</v>
      </c>
      <c r="C5" s="1" t="s">
        <v>2</v>
      </c>
      <c r="D5" s="1" t="s">
        <v>69</v>
      </c>
      <c r="E5" s="1" t="s">
        <v>32</v>
      </c>
      <c r="F5" s="1" t="s">
        <v>17</v>
      </c>
      <c r="G5" s="1" t="s">
        <v>13</v>
      </c>
      <c r="H5" s="1">
        <v>6</v>
      </c>
      <c r="I5" s="1">
        <v>1</v>
      </c>
      <c r="J5" s="1" t="s">
        <v>36</v>
      </c>
      <c r="K5" s="1">
        <v>11</v>
      </c>
      <c r="L5" s="1" t="s">
        <v>23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0.25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0.42</v>
      </c>
      <c r="AA5" s="1">
        <v>0</v>
      </c>
      <c r="AB5" s="1" t="s">
        <v>38</v>
      </c>
      <c r="AC5" s="1">
        <v>0</v>
      </c>
      <c r="AD5" s="1" t="s">
        <v>38</v>
      </c>
      <c r="AE5" t="s">
        <v>38</v>
      </c>
    </row>
    <row r="6" spans="1:31" x14ac:dyDescent="0.2">
      <c r="A6" t="str">
        <f t="shared" si="0"/>
        <v>whole_blood_child_1ml_11_17_years_specialized</v>
      </c>
      <c r="B6" s="6" t="str">
        <f t="shared" si="1"/>
        <v>11_17_years_child</v>
      </c>
      <c r="C6" s="1" t="s">
        <v>2</v>
      </c>
      <c r="D6" s="1" t="s">
        <v>69</v>
      </c>
      <c r="E6" s="1" t="s">
        <v>32</v>
      </c>
      <c r="F6" s="1" t="s">
        <v>17</v>
      </c>
      <c r="G6" s="1" t="s">
        <v>12</v>
      </c>
      <c r="H6" s="1">
        <v>10</v>
      </c>
      <c r="I6" s="1">
        <v>0.9</v>
      </c>
      <c r="J6" s="1" t="s">
        <v>36</v>
      </c>
      <c r="K6" s="1">
        <v>11</v>
      </c>
      <c r="L6" s="1" t="s">
        <v>23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0.25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0.42</v>
      </c>
      <c r="AA6" s="1">
        <v>0</v>
      </c>
      <c r="AB6" s="1" t="s">
        <v>38</v>
      </c>
      <c r="AC6" s="1">
        <v>0</v>
      </c>
      <c r="AD6" s="1" t="s">
        <v>38</v>
      </c>
      <c r="AE6" t="s">
        <v>38</v>
      </c>
    </row>
    <row r="7" spans="1:31" x14ac:dyDescent="0.2">
      <c r="A7" t="str">
        <f t="shared" si="0"/>
        <v>whole_blood_child_1.9ml_6_10_years_specialized</v>
      </c>
      <c r="B7" s="6" t="str">
        <f t="shared" si="1"/>
        <v>6_10_years_child</v>
      </c>
      <c r="C7" s="1" t="s">
        <v>2</v>
      </c>
      <c r="D7" s="1" t="s">
        <v>69</v>
      </c>
      <c r="E7" s="1" t="s">
        <v>32</v>
      </c>
      <c r="F7" s="1" t="s">
        <v>17</v>
      </c>
      <c r="G7" s="1" t="s">
        <v>13</v>
      </c>
      <c r="H7" s="1">
        <v>6</v>
      </c>
      <c r="I7" s="1">
        <v>1</v>
      </c>
      <c r="J7" s="1" t="s">
        <v>35</v>
      </c>
      <c r="K7" s="1">
        <v>10</v>
      </c>
      <c r="L7" s="1" t="s">
        <v>23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0.25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0.42</v>
      </c>
      <c r="AA7" s="1">
        <v>0</v>
      </c>
      <c r="AB7" s="1" t="s">
        <v>38</v>
      </c>
      <c r="AC7" s="1">
        <v>0</v>
      </c>
      <c r="AD7" s="1" t="s">
        <v>38</v>
      </c>
      <c r="AE7" t="s">
        <v>38</v>
      </c>
    </row>
    <row r="8" spans="1:31" x14ac:dyDescent="0.2">
      <c r="A8" t="str">
        <f t="shared" si="0"/>
        <v>whole_blood_child_1ml_6_10_years_specialized</v>
      </c>
      <c r="B8" s="6" t="str">
        <f t="shared" si="1"/>
        <v>6_10_years_child</v>
      </c>
      <c r="C8" s="1" t="s">
        <v>2</v>
      </c>
      <c r="D8" s="1" t="s">
        <v>69</v>
      </c>
      <c r="E8" s="1" t="s">
        <v>32</v>
      </c>
      <c r="F8" s="1" t="s">
        <v>17</v>
      </c>
      <c r="G8" s="1" t="s">
        <v>12</v>
      </c>
      <c r="H8" s="1">
        <v>10</v>
      </c>
      <c r="I8" s="1">
        <v>0.9</v>
      </c>
      <c r="J8" s="1" t="s">
        <v>35</v>
      </c>
      <c r="K8" s="1">
        <v>10</v>
      </c>
      <c r="L8" s="1" t="s">
        <v>23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0.25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0.42</v>
      </c>
      <c r="AA8" s="1">
        <v>0</v>
      </c>
      <c r="AB8" s="1" t="s">
        <v>38</v>
      </c>
      <c r="AC8" s="1">
        <v>0</v>
      </c>
      <c r="AD8" s="1" t="s">
        <v>38</v>
      </c>
      <c r="AE8" t="s">
        <v>38</v>
      </c>
    </row>
    <row r="9" spans="1:31" x14ac:dyDescent="0.2">
      <c r="A9" t="str">
        <f t="shared" si="0"/>
        <v>urine_diaper_1.9ml_0_5_months_core</v>
      </c>
      <c r="B9" s="6" t="str">
        <f t="shared" si="1"/>
        <v>0_5_months_child</v>
      </c>
      <c r="C9" s="1" t="s">
        <v>4</v>
      </c>
      <c r="D9" s="1" t="s">
        <v>65</v>
      </c>
      <c r="E9" s="1" t="s">
        <v>31</v>
      </c>
      <c r="F9" s="1" t="s">
        <v>17</v>
      </c>
      <c r="G9" s="1" t="s">
        <v>13</v>
      </c>
      <c r="H9" s="1">
        <v>3</v>
      </c>
      <c r="I9" s="1">
        <v>0.67</v>
      </c>
      <c r="J9" s="1" t="s">
        <v>20</v>
      </c>
      <c r="K9" s="1">
        <v>4</v>
      </c>
      <c r="L9" s="1" t="s">
        <v>22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0.25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 t="s">
        <v>38</v>
      </c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t="s">
        <v>38</v>
      </c>
    </row>
    <row r="10" spans="1:31" x14ac:dyDescent="0.2">
      <c r="A10" t="str">
        <f t="shared" si="0"/>
        <v>urine_cup_child_1.9ml_11_17_years_core</v>
      </c>
      <c r="B10" s="6" t="str">
        <f t="shared" si="1"/>
        <v>11_17_years_child</v>
      </c>
      <c r="C10" s="1" t="s">
        <v>8</v>
      </c>
      <c r="D10" s="1" t="s">
        <v>70</v>
      </c>
      <c r="E10" s="1" t="s">
        <v>31</v>
      </c>
      <c r="F10" s="1" t="s">
        <v>17</v>
      </c>
      <c r="G10" s="1" t="s">
        <v>13</v>
      </c>
      <c r="H10" s="1">
        <v>3</v>
      </c>
      <c r="I10" s="1">
        <v>1</v>
      </c>
      <c r="J10" s="1" t="s">
        <v>36</v>
      </c>
      <c r="K10" s="1">
        <v>11</v>
      </c>
      <c r="L10" s="1" t="s">
        <v>22</v>
      </c>
      <c r="M10" s="1">
        <v>1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0.25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4" t="s">
        <v>38</v>
      </c>
    </row>
    <row r="11" spans="1:31" x14ac:dyDescent="0.2">
      <c r="A11" t="str">
        <f t="shared" si="0"/>
        <v>whole_blood_child_1.9ml_11_17_years_core</v>
      </c>
      <c r="B11" s="6" t="str">
        <f t="shared" si="1"/>
        <v>11_17_years_child</v>
      </c>
      <c r="C11" s="1" t="s">
        <v>2</v>
      </c>
      <c r="D11" s="1" t="s">
        <v>71</v>
      </c>
      <c r="E11" s="1" t="s">
        <v>32</v>
      </c>
      <c r="F11" s="1" t="s">
        <v>17</v>
      </c>
      <c r="G11" s="1" t="s">
        <v>13</v>
      </c>
      <c r="H11" s="1">
        <v>6</v>
      </c>
      <c r="I11" s="1">
        <v>1</v>
      </c>
      <c r="J11" s="1" t="s">
        <v>36</v>
      </c>
      <c r="K11" s="1">
        <v>11</v>
      </c>
      <c r="L11" s="1" t="s">
        <v>22</v>
      </c>
      <c r="M11" s="1">
        <v>1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0.25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 t="s">
        <v>38</v>
      </c>
      <c r="Z11" s="1" t="s">
        <v>38</v>
      </c>
      <c r="AA11" s="1" t="s">
        <v>38</v>
      </c>
      <c r="AB11" s="1" t="s">
        <v>38</v>
      </c>
      <c r="AC11" s="1" t="s">
        <v>38</v>
      </c>
      <c r="AD11" s="1" t="s">
        <v>38</v>
      </c>
      <c r="AE11" s="5" t="s">
        <v>46</v>
      </c>
    </row>
    <row r="12" spans="1:31" x14ac:dyDescent="0.2">
      <c r="A12" t="str">
        <f t="shared" si="0"/>
        <v>whole_blood_child_1ml_11_17_years_core</v>
      </c>
      <c r="B12" s="6" t="str">
        <f t="shared" si="1"/>
        <v>11_17_years_child</v>
      </c>
      <c r="C12" s="1" t="s">
        <v>2</v>
      </c>
      <c r="D12" s="1" t="s">
        <v>71</v>
      </c>
      <c r="E12" s="1" t="s">
        <v>32</v>
      </c>
      <c r="F12" s="1" t="s">
        <v>17</v>
      </c>
      <c r="G12" s="1" t="s">
        <v>12</v>
      </c>
      <c r="H12" s="1">
        <v>10</v>
      </c>
      <c r="I12" s="1">
        <v>0.9</v>
      </c>
      <c r="J12" s="1" t="s">
        <v>36</v>
      </c>
      <c r="K12" s="1">
        <v>11</v>
      </c>
      <c r="L12" s="1" t="s">
        <v>22</v>
      </c>
      <c r="M12" s="1">
        <v>1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0.25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 t="s">
        <v>38</v>
      </c>
      <c r="Z12" s="1" t="s">
        <v>38</v>
      </c>
      <c r="AA12" s="1" t="s">
        <v>38</v>
      </c>
      <c r="AB12" s="1" t="s">
        <v>38</v>
      </c>
      <c r="AC12" s="1" t="s">
        <v>38</v>
      </c>
      <c r="AD12" s="1" t="s">
        <v>38</v>
      </c>
      <c r="AE12" s="5" t="s">
        <v>46</v>
      </c>
    </row>
    <row r="13" spans="1:31" x14ac:dyDescent="0.2">
      <c r="A13" t="str">
        <f t="shared" si="0"/>
        <v>urine_cup_maternal_1.9ml_24_35_months_preconception</v>
      </c>
      <c r="B13" s="6" t="str">
        <f t="shared" si="1"/>
        <v>24_35_months_maternal</v>
      </c>
      <c r="C13" s="1" t="s">
        <v>5</v>
      </c>
      <c r="D13" s="1" t="s">
        <v>72</v>
      </c>
      <c r="E13" s="1" t="s">
        <v>31</v>
      </c>
      <c r="F13" s="1" t="s">
        <v>16</v>
      </c>
      <c r="G13" s="1" t="s">
        <v>13</v>
      </c>
      <c r="H13" s="1">
        <v>3</v>
      </c>
      <c r="I13" s="1">
        <v>1</v>
      </c>
      <c r="J13" s="1" t="s">
        <v>33</v>
      </c>
      <c r="K13" s="1">
        <v>8</v>
      </c>
      <c r="L13" s="1" t="s">
        <v>29</v>
      </c>
      <c r="M13" s="1">
        <v>0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0.25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 t="s">
        <v>38</v>
      </c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4" t="s">
        <v>45</v>
      </c>
    </row>
    <row r="14" spans="1:31" x14ac:dyDescent="0.2">
      <c r="A14" t="str">
        <f t="shared" si="0"/>
        <v>urine_hat_1.9ml_3_5_years_core</v>
      </c>
      <c r="B14" s="6" t="str">
        <f t="shared" si="1"/>
        <v>3_5_years_child</v>
      </c>
      <c r="C14" s="1" t="s">
        <v>7</v>
      </c>
      <c r="D14" s="1" t="s">
        <v>66</v>
      </c>
      <c r="E14" s="1" t="s">
        <v>31</v>
      </c>
      <c r="F14" s="1" t="s">
        <v>17</v>
      </c>
      <c r="G14" s="1" t="s">
        <v>13</v>
      </c>
      <c r="H14" s="1">
        <v>3</v>
      </c>
      <c r="I14" s="1">
        <v>1</v>
      </c>
      <c r="J14" s="1" t="s">
        <v>34</v>
      </c>
      <c r="K14" s="1">
        <v>9</v>
      </c>
      <c r="L14" s="1" t="s">
        <v>22</v>
      </c>
      <c r="M14" s="1">
        <v>1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0.25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 t="s">
        <v>38</v>
      </c>
      <c r="Z14" s="1" t="s">
        <v>38</v>
      </c>
      <c r="AA14" s="1" t="s">
        <v>38</v>
      </c>
      <c r="AB14" s="1" t="s">
        <v>38</v>
      </c>
      <c r="AC14" s="1" t="s">
        <v>38</v>
      </c>
      <c r="AD14" s="1" t="s">
        <v>38</v>
      </c>
      <c r="AE14" s="5" t="s">
        <v>38</v>
      </c>
    </row>
    <row r="15" spans="1:31" x14ac:dyDescent="0.2">
      <c r="A15" t="str">
        <f t="shared" si="0"/>
        <v>urine_hat_1.9ml_6_10_years_core</v>
      </c>
      <c r="B15" s="6" t="str">
        <f t="shared" si="1"/>
        <v>6_10_years_child</v>
      </c>
      <c r="C15" s="1" t="s">
        <v>7</v>
      </c>
      <c r="D15" s="1" t="s">
        <v>66</v>
      </c>
      <c r="E15" s="1" t="s">
        <v>31</v>
      </c>
      <c r="F15" s="1" t="s">
        <v>17</v>
      </c>
      <c r="G15" s="1" t="s">
        <v>13</v>
      </c>
      <c r="H15" s="1">
        <v>3</v>
      </c>
      <c r="I15" s="1">
        <v>1</v>
      </c>
      <c r="J15" s="1" t="s">
        <v>35</v>
      </c>
      <c r="K15" s="1">
        <v>10</v>
      </c>
      <c r="L15" s="1" t="s">
        <v>22</v>
      </c>
      <c r="M15" s="1">
        <v>1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0.25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5" t="s">
        <v>38</v>
      </c>
    </row>
    <row r="16" spans="1:31" x14ac:dyDescent="0.2">
      <c r="A16" t="str">
        <f t="shared" si="0"/>
        <v>whole_blood_child_1.9ml_6_10_years_core</v>
      </c>
      <c r="B16" s="6" t="str">
        <f t="shared" si="1"/>
        <v>6_10_years_child</v>
      </c>
      <c r="C16" s="1" t="s">
        <v>2</v>
      </c>
      <c r="D16" s="1" t="s">
        <v>71</v>
      </c>
      <c r="E16" s="1" t="s">
        <v>32</v>
      </c>
      <c r="F16" s="1" t="s">
        <v>17</v>
      </c>
      <c r="G16" s="1" t="s">
        <v>13</v>
      </c>
      <c r="H16" s="1">
        <v>6</v>
      </c>
      <c r="I16" s="1">
        <v>1</v>
      </c>
      <c r="J16" s="1" t="s">
        <v>35</v>
      </c>
      <c r="K16" s="1">
        <v>10</v>
      </c>
      <c r="L16" s="1" t="s">
        <v>22</v>
      </c>
      <c r="M16" s="1">
        <v>1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0.25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 t="s">
        <v>38</v>
      </c>
      <c r="Z16" s="1" t="s">
        <v>38</v>
      </c>
      <c r="AA16" s="1" t="s">
        <v>38</v>
      </c>
      <c r="AB16" s="1" t="s">
        <v>38</v>
      </c>
      <c r="AC16" s="1" t="s">
        <v>38</v>
      </c>
      <c r="AD16" s="1" t="s">
        <v>38</v>
      </c>
      <c r="AE16" s="5" t="s">
        <v>38</v>
      </c>
    </row>
    <row r="17" spans="1:31" x14ac:dyDescent="0.2">
      <c r="A17" t="str">
        <f t="shared" si="0"/>
        <v>whole_blood_child_1ml_6_10_years_core</v>
      </c>
      <c r="B17" s="6" t="str">
        <f t="shared" si="1"/>
        <v>6_10_years_child</v>
      </c>
      <c r="C17" s="1" t="s">
        <v>2</v>
      </c>
      <c r="D17" s="1" t="s">
        <v>71</v>
      </c>
      <c r="E17" s="1" t="s">
        <v>32</v>
      </c>
      <c r="F17" s="1" t="s">
        <v>17</v>
      </c>
      <c r="G17" s="1" t="s">
        <v>12</v>
      </c>
      <c r="H17" s="1">
        <v>10</v>
      </c>
      <c r="I17" s="1">
        <v>0.9</v>
      </c>
      <c r="J17" s="1" t="s">
        <v>35</v>
      </c>
      <c r="K17" s="1">
        <v>10</v>
      </c>
      <c r="L17" s="1" t="s">
        <v>22</v>
      </c>
      <c r="M17" s="1">
        <v>1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0.25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5" t="s">
        <v>38</v>
      </c>
    </row>
    <row r="18" spans="1:31" x14ac:dyDescent="0.2">
      <c r="A18" t="str">
        <f t="shared" si="0"/>
        <v>urine_cup_current_partner_1.9ml_6_11_months_preconception</v>
      </c>
      <c r="B18" s="6" t="str">
        <f t="shared" si="1"/>
        <v>6_11_months_partner</v>
      </c>
      <c r="C18" s="1" t="s">
        <v>6</v>
      </c>
      <c r="D18" s="1" t="s">
        <v>74</v>
      </c>
      <c r="E18" s="1" t="s">
        <v>31</v>
      </c>
      <c r="F18" s="1" t="s">
        <v>18</v>
      </c>
      <c r="G18" s="1" t="s">
        <v>13</v>
      </c>
      <c r="H18" s="1">
        <v>3</v>
      </c>
      <c r="I18" s="1">
        <v>1</v>
      </c>
      <c r="J18" s="1" t="s">
        <v>28</v>
      </c>
      <c r="K18" s="1">
        <v>5</v>
      </c>
      <c r="L18" s="1" t="s">
        <v>29</v>
      </c>
      <c r="M18" s="1">
        <v>0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0.25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5" t="s">
        <v>45</v>
      </c>
    </row>
    <row r="19" spans="1:31" x14ac:dyDescent="0.2">
      <c r="A19" t="str">
        <f t="shared" si="0"/>
        <v>urine_cup_maternal_1.9ml_6_11_months_preconception</v>
      </c>
      <c r="B19" s="6" t="str">
        <f t="shared" si="1"/>
        <v>6_11_months_maternal</v>
      </c>
      <c r="C19" s="1" t="s">
        <v>5</v>
      </c>
      <c r="D19" s="1" t="s">
        <v>72</v>
      </c>
      <c r="E19" s="1" t="s">
        <v>31</v>
      </c>
      <c r="F19" s="1" t="s">
        <v>16</v>
      </c>
      <c r="G19" s="1" t="s">
        <v>13</v>
      </c>
      <c r="H19" s="1">
        <v>3</v>
      </c>
      <c r="I19" s="1">
        <v>1</v>
      </c>
      <c r="J19" s="1" t="s">
        <v>28</v>
      </c>
      <c r="K19" s="1">
        <v>5</v>
      </c>
      <c r="L19" s="1" t="s">
        <v>29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0.25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 t="s">
        <v>38</v>
      </c>
      <c r="Z19" s="1" t="s">
        <v>38</v>
      </c>
      <c r="AA19" s="1" t="s">
        <v>38</v>
      </c>
      <c r="AB19" s="1" t="s">
        <v>38</v>
      </c>
      <c r="AC19" s="1" t="s">
        <v>38</v>
      </c>
      <c r="AD19" s="1" t="s">
        <v>38</v>
      </c>
      <c r="AE19" s="5" t="s">
        <v>38</v>
      </c>
    </row>
    <row r="20" spans="1:31" x14ac:dyDescent="0.2">
      <c r="A20" t="str">
        <f t="shared" si="0"/>
        <v>cord_blood_1.9ml_perinatal_core</v>
      </c>
      <c r="B20" s="6" t="str">
        <f t="shared" si="1"/>
        <v>perinatal_child</v>
      </c>
      <c r="C20" s="1" t="s">
        <v>1</v>
      </c>
      <c r="D20" s="1" t="s">
        <v>67</v>
      </c>
      <c r="E20" s="1" t="s">
        <v>1</v>
      </c>
      <c r="F20" s="1" t="s">
        <v>17</v>
      </c>
      <c r="G20" s="1" t="s">
        <v>13</v>
      </c>
      <c r="H20" s="1">
        <v>6</v>
      </c>
      <c r="I20" s="1">
        <v>1</v>
      </c>
      <c r="J20" s="1" t="s">
        <v>26</v>
      </c>
      <c r="K20" s="1">
        <v>3</v>
      </c>
      <c r="L20" s="1" t="s">
        <v>22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0.25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 t="s">
        <v>38</v>
      </c>
      <c r="Z20" s="1" t="s">
        <v>38</v>
      </c>
      <c r="AA20" s="1" t="s">
        <v>38</v>
      </c>
      <c r="AB20" s="1" t="s">
        <v>38</v>
      </c>
      <c r="AC20" s="1" t="s">
        <v>38</v>
      </c>
      <c r="AD20" s="1" t="s">
        <v>38</v>
      </c>
      <c r="AE20" s="5" t="s">
        <v>38</v>
      </c>
    </row>
    <row r="21" spans="1:31" x14ac:dyDescent="0.2">
      <c r="A21" t="str">
        <f t="shared" si="0"/>
        <v>cord_blood_1ml_perinatal_core</v>
      </c>
      <c r="B21" s="6" t="str">
        <f t="shared" si="1"/>
        <v>perinatal_child</v>
      </c>
      <c r="C21" s="1" t="s">
        <v>1</v>
      </c>
      <c r="D21" s="1" t="s">
        <v>67</v>
      </c>
      <c r="E21" s="1" t="s">
        <v>1</v>
      </c>
      <c r="F21" s="1" t="s">
        <v>17</v>
      </c>
      <c r="G21" s="1" t="s">
        <v>12</v>
      </c>
      <c r="H21" s="1">
        <v>10</v>
      </c>
      <c r="I21" s="1">
        <v>0.9</v>
      </c>
      <c r="J21" s="1" t="s">
        <v>26</v>
      </c>
      <c r="K21" s="1">
        <v>3</v>
      </c>
      <c r="L21" s="1" t="s">
        <v>22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0.25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 t="s">
        <v>38</v>
      </c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5" t="s">
        <v>38</v>
      </c>
    </row>
    <row r="22" spans="1:31" x14ac:dyDescent="0.2">
      <c r="A22" t="str">
        <f t="shared" si="0"/>
        <v>placenta_1.9ml_perinatal_core</v>
      </c>
      <c r="B22" s="6" t="str">
        <f t="shared" si="1"/>
        <v>perinatal_maternal</v>
      </c>
      <c r="C22" s="1" t="s">
        <v>9</v>
      </c>
      <c r="D22" s="1" t="s">
        <v>68</v>
      </c>
      <c r="E22" s="1" t="s">
        <v>9</v>
      </c>
      <c r="F22" s="1" t="s">
        <v>16</v>
      </c>
      <c r="G22" s="1" t="s">
        <v>13</v>
      </c>
      <c r="H22" s="1">
        <v>16</v>
      </c>
      <c r="I22" s="1">
        <v>0.9</v>
      </c>
      <c r="J22" s="1" t="s">
        <v>26</v>
      </c>
      <c r="K22" s="1">
        <v>3</v>
      </c>
      <c r="L22" s="1" t="s">
        <v>22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0.25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 t="s">
        <v>38</v>
      </c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4" t="s">
        <v>38</v>
      </c>
    </row>
    <row r="23" spans="1:31" x14ac:dyDescent="0.2">
      <c r="A23" t="str">
        <f t="shared" si="0"/>
        <v>urine_cup_maternal_1.9ml_preg_early_core</v>
      </c>
      <c r="B23" s="6" t="str">
        <f t="shared" si="1"/>
        <v>preg_early_maternal</v>
      </c>
      <c r="C23" s="1" t="s">
        <v>5</v>
      </c>
      <c r="D23" s="1" t="s">
        <v>72</v>
      </c>
      <c r="E23" s="1" t="s">
        <v>31</v>
      </c>
      <c r="F23" s="1" t="s">
        <v>16</v>
      </c>
      <c r="G23" s="1" t="s">
        <v>13</v>
      </c>
      <c r="H23" s="1">
        <v>3</v>
      </c>
      <c r="I23" s="1">
        <v>1</v>
      </c>
      <c r="J23" s="1" t="s">
        <v>24</v>
      </c>
      <c r="K23" s="1">
        <v>1</v>
      </c>
      <c r="L23" s="1" t="s">
        <v>22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0.25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 t="s">
        <v>38</v>
      </c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5" t="s">
        <v>38</v>
      </c>
    </row>
    <row r="24" spans="1:31" x14ac:dyDescent="0.2">
      <c r="A24" t="str">
        <f t="shared" si="0"/>
        <v>whole_blood_maternal_1.9ml_preg_early_core</v>
      </c>
      <c r="B24" s="6" t="str">
        <f t="shared" si="1"/>
        <v>preg_early_maternal</v>
      </c>
      <c r="C24" s="1" t="s">
        <v>0</v>
      </c>
      <c r="D24" s="1" t="s">
        <v>73</v>
      </c>
      <c r="E24" s="1" t="s">
        <v>32</v>
      </c>
      <c r="F24" s="1" t="s">
        <v>16</v>
      </c>
      <c r="G24" s="1" t="s">
        <v>13</v>
      </c>
      <c r="H24" s="1">
        <v>6</v>
      </c>
      <c r="I24" s="1">
        <v>1</v>
      </c>
      <c r="J24" s="1" t="s">
        <v>24</v>
      </c>
      <c r="K24" s="1">
        <v>1</v>
      </c>
      <c r="L24" s="1" t="s">
        <v>22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0.25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 t="s">
        <v>38</v>
      </c>
      <c r="Z24" s="1" t="s">
        <v>38</v>
      </c>
      <c r="AA24" s="1" t="s">
        <v>38</v>
      </c>
      <c r="AB24" s="1" t="s">
        <v>38</v>
      </c>
      <c r="AC24" s="1" t="s">
        <v>38</v>
      </c>
      <c r="AD24" s="1" t="s">
        <v>38</v>
      </c>
      <c r="AE24" s="5" t="s">
        <v>38</v>
      </c>
    </row>
    <row r="25" spans="1:31" x14ac:dyDescent="0.2">
      <c r="A25" t="str">
        <f t="shared" si="0"/>
        <v>whole_blood_maternal_1ml_preg_early_core</v>
      </c>
      <c r="B25" s="6" t="str">
        <f t="shared" si="1"/>
        <v>preg_early_maternal</v>
      </c>
      <c r="C25" s="1" t="s">
        <v>0</v>
      </c>
      <c r="D25" s="1" t="s">
        <v>73</v>
      </c>
      <c r="E25" s="1" t="s">
        <v>32</v>
      </c>
      <c r="F25" s="1" t="s">
        <v>16</v>
      </c>
      <c r="G25" s="1" t="s">
        <v>12</v>
      </c>
      <c r="H25" s="1">
        <v>10</v>
      </c>
      <c r="I25" s="1">
        <v>0.9</v>
      </c>
      <c r="J25" s="1" t="s">
        <v>24</v>
      </c>
      <c r="K25" s="1">
        <v>1</v>
      </c>
      <c r="L25" s="1" t="s">
        <v>22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0.25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 t="s">
        <v>38</v>
      </c>
      <c r="Z25" s="1" t="s">
        <v>38</v>
      </c>
      <c r="AA25" s="1" t="s">
        <v>38</v>
      </c>
      <c r="AB25" s="1" t="s">
        <v>38</v>
      </c>
      <c r="AC25" s="1" t="s">
        <v>38</v>
      </c>
      <c r="AD25" s="1" t="s">
        <v>38</v>
      </c>
      <c r="AE25" s="5" t="s">
        <v>38</v>
      </c>
    </row>
    <row r="26" spans="1:31" x14ac:dyDescent="0.2">
      <c r="A26" t="str">
        <f t="shared" si="0"/>
        <v>urine_cup_maternal_1.9ml_preg_third_tri_core</v>
      </c>
      <c r="B26" s="6" t="str">
        <f t="shared" si="1"/>
        <v>preg_third_tri_maternal</v>
      </c>
      <c r="C26" s="1" t="s">
        <v>5</v>
      </c>
      <c r="D26" s="1" t="s">
        <v>72</v>
      </c>
      <c r="E26" s="1" t="s">
        <v>31</v>
      </c>
      <c r="F26" s="1" t="s">
        <v>16</v>
      </c>
      <c r="G26" s="1" t="s">
        <v>13</v>
      </c>
      <c r="H26" s="1">
        <v>3</v>
      </c>
      <c r="I26" s="1">
        <v>1</v>
      </c>
      <c r="J26" s="1" t="s">
        <v>25</v>
      </c>
      <c r="K26" s="1">
        <v>2</v>
      </c>
      <c r="L26" s="1" t="s">
        <v>22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0.25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 t="s">
        <v>38</v>
      </c>
      <c r="Z26" s="1" t="s">
        <v>38</v>
      </c>
      <c r="AA26" s="1" t="s">
        <v>38</v>
      </c>
      <c r="AB26" s="1" t="s">
        <v>38</v>
      </c>
      <c r="AC26" s="1" t="s">
        <v>38</v>
      </c>
      <c r="AD26" s="1" t="s">
        <v>38</v>
      </c>
      <c r="AE26" s="5" t="s">
        <v>38</v>
      </c>
    </row>
    <row r="27" spans="1:31" x14ac:dyDescent="0.2">
      <c r="A27" t="str">
        <f t="shared" si="0"/>
        <v>whole_blood_maternal_1.9ml_preg_third_tri_core</v>
      </c>
      <c r="B27" s="6" t="str">
        <f t="shared" si="1"/>
        <v>preg_third_tri_maternal</v>
      </c>
      <c r="C27" s="1" t="s">
        <v>0</v>
      </c>
      <c r="D27" s="1" t="s">
        <v>73</v>
      </c>
      <c r="E27" s="1" t="s">
        <v>32</v>
      </c>
      <c r="F27" s="1" t="s">
        <v>16</v>
      </c>
      <c r="G27" s="1" t="s">
        <v>13</v>
      </c>
      <c r="H27" s="1">
        <v>6</v>
      </c>
      <c r="I27" s="1">
        <v>1</v>
      </c>
      <c r="J27" s="1" t="s">
        <v>25</v>
      </c>
      <c r="K27" s="1">
        <v>2</v>
      </c>
      <c r="L27" s="1" t="s">
        <v>22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0.25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 t="s">
        <v>38</v>
      </c>
      <c r="Z27" s="1" t="s">
        <v>38</v>
      </c>
      <c r="AA27" s="1" t="s">
        <v>38</v>
      </c>
      <c r="AB27" s="1" t="s">
        <v>38</v>
      </c>
      <c r="AC27" s="1" t="s">
        <v>38</v>
      </c>
      <c r="AD27" s="1" t="s">
        <v>38</v>
      </c>
      <c r="AE27" s="5" t="s">
        <v>38</v>
      </c>
    </row>
    <row r="28" spans="1:31" x14ac:dyDescent="0.2">
      <c r="A28" t="str">
        <f t="shared" si="0"/>
        <v>whole_blood_maternal_1ml_preg_third_tri_core</v>
      </c>
      <c r="B28" s="6" t="str">
        <f t="shared" si="1"/>
        <v>preg_third_tri_maternal</v>
      </c>
      <c r="C28" s="1" t="s">
        <v>0</v>
      </c>
      <c r="D28" s="1" t="s">
        <v>73</v>
      </c>
      <c r="E28" s="1" t="s">
        <v>32</v>
      </c>
      <c r="F28" s="1" t="s">
        <v>16</v>
      </c>
      <c r="G28" s="1" t="s">
        <v>12</v>
      </c>
      <c r="H28" s="1">
        <v>10</v>
      </c>
      <c r="I28" s="1">
        <v>0.9</v>
      </c>
      <c r="J28" s="1" t="s">
        <v>25</v>
      </c>
      <c r="K28" s="1">
        <v>2</v>
      </c>
      <c r="L28" s="1" t="s">
        <v>22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0.25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4" t="s">
        <v>38</v>
      </c>
    </row>
  </sheetData>
  <sortState xmlns:xlrd2="http://schemas.microsoft.com/office/spreadsheetml/2017/richdata2" ref="A2:AE28">
    <sortCondition ref="AD1:AD28"/>
  </sortState>
  <phoneticPr fontId="1" type="noConversion"/>
  <conditionalFormatting sqref="E1:F1048576">
    <cfRule type="containsText" dxfId="23" priority="13" operator="containsText" text="placenta">
      <formula>NOT(ISERROR(SEARCH("placenta",E1)))</formula>
    </cfRule>
    <cfRule type="containsText" dxfId="22" priority="14" operator="containsText" text="urine">
      <formula>NOT(ISERROR(SEARCH("urine",E1)))</formula>
    </cfRule>
    <cfRule type="containsText" dxfId="21" priority="15" operator="containsText" text="cord_blood">
      <formula>NOT(ISERROR(SEARCH("cord_blood",E1)))</formula>
    </cfRule>
    <cfRule type="containsText" dxfId="20" priority="16" operator="containsText" text="whole_blood">
      <formula>NOT(ISERROR(SEARCH("whole_blood",E1)))</formula>
    </cfRule>
  </conditionalFormatting>
  <conditionalFormatting sqref="F1:F1048576 J7:K8 J15:K24">
    <cfRule type="containsText" dxfId="19" priority="22" operator="containsText" text="partner">
      <formula>NOT(ISERROR(SEARCH("partner",F1)))</formula>
    </cfRule>
    <cfRule type="containsText" dxfId="18" priority="23" operator="containsText" text="child">
      <formula>NOT(ISERROR(SEARCH("child",F1)))</formula>
    </cfRule>
    <cfRule type="containsText" dxfId="17" priority="24" operator="containsText" text="maternal">
      <formula>NOT(ISERROR(SEARCH("maternal",F1)))</formula>
    </cfRule>
  </conditionalFormatting>
  <conditionalFormatting sqref="G1:G1048576">
    <cfRule type="containsText" dxfId="16" priority="17" operator="containsText" text="1.9ml">
      <formula>NOT(ISERROR(SEARCH("1.9ml",G1)))</formula>
    </cfRule>
    <cfRule type="containsText" dxfId="15" priority="18" operator="containsText" text="1ml">
      <formula>NOT(ISERROR(SEARCH("1ml",G1)))</formula>
    </cfRule>
  </conditionalFormatting>
  <conditionalFormatting sqref="J1:J1048576">
    <cfRule type="containsText" dxfId="14" priority="2" operator="containsText" text="11_17_years">
      <formula>NOT(ISERROR(SEARCH("11_17_years",J1)))</formula>
    </cfRule>
    <cfRule type="containsText" dxfId="13" priority="3" operator="containsText" text="6_10_years">
      <formula>NOT(ISERROR(SEARCH("6_10_years",J1)))</formula>
    </cfRule>
    <cfRule type="containsText" dxfId="12" priority="4" operator="containsText" text="perinatal">
      <formula>NOT(ISERROR(SEARCH("perinatal",J1)))</formula>
    </cfRule>
  </conditionalFormatting>
  <conditionalFormatting sqref="J1:K1048576">
    <cfRule type="containsText" dxfId="11" priority="5" operator="containsText" text="preg_third_tri">
      <formula>NOT(ISERROR(SEARCH("preg_third_tri",J1)))</formula>
    </cfRule>
    <cfRule type="containsText" dxfId="10" priority="6" operator="containsText" text="preg_early">
      <formula>NOT(ISERROR(SEARCH("preg_early",J1)))</formula>
    </cfRule>
    <cfRule type="containsText" dxfId="9" priority="7" operator="containsText" text="24_35_months">
      <formula>NOT(ISERROR(SEARCH("24_35_months",J1)))</formula>
    </cfRule>
    <cfRule type="containsText" dxfId="8" priority="8" operator="containsText" text="12_23_months">
      <formula>NOT(ISERROR(SEARCH("12_23_months",J1)))</formula>
    </cfRule>
    <cfRule type="containsText" dxfId="7" priority="9" operator="containsText" text="6_11_months">
      <formula>NOT(ISERROR(SEARCH("6_11_months",J1)))</formula>
    </cfRule>
    <cfRule type="containsText" dxfId="6" priority="10" operator="containsText" text="0_5_months">
      <formula>NOT(ISERROR(SEARCH("0_5_months",J1)))</formula>
    </cfRule>
  </conditionalFormatting>
  <conditionalFormatting sqref="L1:L1048576">
    <cfRule type="containsText" dxfId="5" priority="19" operator="containsText" text="preconception">
      <formula>NOT(ISERROR(SEARCH("preconception",L1)))</formula>
    </cfRule>
    <cfRule type="containsText" dxfId="4" priority="20" operator="containsText" text="specialized">
      <formula>NOT(ISERROR(SEARCH("specialized",L1)))</formula>
    </cfRule>
    <cfRule type="containsText" dxfId="3" priority="21" operator="containsText" text="core">
      <formula>NOT(ISERROR(SEARCH("core",L1)))</formula>
    </cfRule>
  </conditionalFormatting>
  <conditionalFormatting sqref="M1:R1048576">
    <cfRule type="beginsWith" dxfId="2" priority="11" operator="beginsWith" text="0">
      <formula>LEFT(M1,LEN("0"))="0"</formula>
    </cfRule>
    <cfRule type="containsText" dxfId="1" priority="12" operator="containsText" text="1">
      <formula>NOT(ISERROR(SEARCH("1",M1)))</formula>
    </cfRule>
  </conditionalFormatting>
  <conditionalFormatting sqref="Y1:AD1048576 AE10:AE28">
    <cfRule type="containsText" dxfId="0" priority="1" operator="containsText" text="NA">
      <formula>NOT(ISERROR(SEARCH("NA",Y1)))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Shilts, Meghan H</dc:creator>
  <cp:lastModifiedBy>Shilts, Meghan H</cp:lastModifiedBy>
  <dcterms:created xsi:type="dcterms:W3CDTF">2025-09-09T10:52:32Z</dcterms:created>
  <dcterms:modified xsi:type="dcterms:W3CDTF">2025-09-19T20:59:27Z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2025-09-09T11:52:22Z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db49eefc-ad38-46fd-ad4e-c52050cb4937</vt:lpwstr>
  </property>
  <property fmtid="{D5CDD505-2E9C-101B-9397-08002B2CF9AE}" pid="8" name="MSIP_Label_792c8cef-6f2b-4af1-b4ac-d815ff795cd6_ContentBits">
    <vt:lpwstr>0</vt:lpwstr>
  </property>
</Properties>
</file>